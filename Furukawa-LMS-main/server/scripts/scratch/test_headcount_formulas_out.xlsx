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<sst xmlns="http://schemas.openxmlformats.org/spreadsheetml/2006/main" count="27" uniqueCount="25">
  <si>
    <t>TITLE</t>
  </si>
  <si>
    <t/>
  </si>
  <si>
    <t>Particulars</t>
  </si>
  <si>
    <t>Prev</t>
  </si>
  <si>
    <t>D1</t>
  </si>
  <si>
    <t>D2</t>
  </si>
  <si>
    <t>D3</t>
  </si>
  <si>
    <t>Headcount required as per production plan</t>
  </si>
  <si>
    <t>Hiring Plan</t>
  </si>
  <si>
    <t>Headcount available</t>
  </si>
  <si>
    <t>Assembly Headcount available</t>
  </si>
  <si>
    <t>Separated (Cumulative)</t>
  </si>
  <si>
    <t>Actual Separations (Cumulative)</t>
  </si>
  <si>
    <t>Expected Separations (Cumulative)</t>
  </si>
  <si>
    <t>Gap</t>
  </si>
  <si>
    <t>Absent</t>
  </si>
  <si>
    <t>Assembly absent</t>
  </si>
  <si>
    <t>Net Available Headcount Total</t>
  </si>
  <si>
    <t>Absenteeism %</t>
  </si>
  <si>
    <t>Assembly Absenteeism %</t>
  </si>
  <si>
    <t>Left in nos (Daily)</t>
  </si>
  <si>
    <t>Shift-wise Breakdown of Available Manpower</t>
  </si>
  <si>
    <t>A-Shift</t>
  </si>
  <si>
    <t>Shift-wise Breakdown of Assigned Manpower</t>
  </si>
  <si>
    <t>Shift-wise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</si>
</sst>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40" customWidth="1"/>
    <col min="2" max="5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>
        <v>0</v>
      </c>
      <c r="C4">
        <v>50</v>
      </c>
      <c r="D4">
        <v>50</v>
      </c>
      <c r="E4">
        <v>50</v>
      </c>
    </row>
    <row r="6" spans="1:5" x14ac:dyDescent="0.25">
      <c r="A6" t="s">
        <v>8</v>
      </c>
      <c r="B6">
        <v>0</v>
      </c>
      <c r="C6">
        <f>IF(N(C19)=0,0,MAX(0,C4-C19))</f>
        <v>10</v>
      </c>
      <c r="D6">
        <f>IF(N(D19)=0,0,MAX(0,D4-D19))</f>
        <v>0</v>
      </c>
      <c r="E6">
        <f>IF(N(E19)=0,0,MAX(0,E4-E19))</f>
        <v>5</v>
      </c>
    </row>
    <row r="8" spans="1:5" x14ac:dyDescent="0.25">
      <c r="A8" t="s">
        <v>9</v>
      </c>
      <c r="B8">
        <v>0</v>
      </c>
      <c r="C8">
        <v>48</v>
      </c>
      <c r="D8">
        <v>0</v>
      </c>
      <c r="E8">
        <v>46</v>
      </c>
    </row>
    <row r="9" spans="1:5" x14ac:dyDescent="0.25">
      <c r="A9" t="s">
        <v>10</v>
      </c>
      <c r="B9">
        <v>0</v>
      </c>
      <c r="C9">
        <v>0</v>
      </c>
      <c r="D9">
        <v>0</v>
      </c>
      <c r="E9">
        <v>0</v>
      </c>
    </row>
    <row r="11" spans="1:5" x14ac:dyDescent="0.25">
      <c r="A11" t="s">
        <v>11</v>
      </c>
      <c r="B11">
        <v>0</v>
      </c>
      <c r="C11">
        <f>C24</f>
        <v>1</v>
      </c>
      <c r="D11">
        <f>C11+D24</f>
        <v>1</v>
      </c>
      <c r="E11">
        <f>D11+E24</f>
        <v>3</v>
      </c>
    </row>
    <row r="12" spans="1:5" x14ac:dyDescent="0.25">
      <c r="A12" t="s">
        <v>12</v>
      </c>
      <c r="B12">
        <v>0</v>
      </c>
      <c r="C12">
        <f>C11</f>
        <v>1</v>
      </c>
      <c r="D12">
        <f>D11</f>
        <v>1</v>
      </c>
      <c r="E12">
        <f>E11</f>
        <v>3</v>
      </c>
    </row>
    <row r="13" spans="1:5" x14ac:dyDescent="0.25">
      <c r="A13" t="s">
        <v>13</v>
      </c>
      <c r="B13">
        <v>0</v>
      </c>
      <c r="C13">
        <v>1</v>
      </c>
      <c r="D13">
        <v>2</v>
      </c>
      <c r="E13">
        <v>3</v>
      </c>
    </row>
    <row r="14" spans="1:5" x14ac:dyDescent="0.25">
      <c r="A14" t="s">
        <v>14</v>
      </c>
      <c r="B14">
        <v>0</v>
      </c>
      <c r="C14">
        <f>C12-C13</f>
        <v>0</v>
      </c>
      <c r="D14">
        <f>D12-D13</f>
        <v>0</v>
      </c>
      <c r="E14">
        <f>E12-E13</f>
        <v>0</v>
      </c>
    </row>
    <row r="16" spans="1:5" x14ac:dyDescent="0.25">
      <c r="A16" t="s">
        <v>15</v>
      </c>
      <c r="B16">
        <v>0</v>
      </c>
      <c r="C16">
        <v>3</v>
      </c>
      <c r="D16">
        <v>2</v>
      </c>
      <c r="E16">
        <v>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9" spans="1:5" x14ac:dyDescent="0.25">
      <c r="A19" t="s">
        <v>17</v>
      </c>
      <c r="B19">
        <v>0</v>
      </c>
      <c r="C19">
        <v>40</v>
      </c>
      <c r="D19">
        <v>0</v>
      </c>
      <c r="E19">
        <v>45</v>
      </c>
    </row>
    <row r="21" spans="1:5" x14ac:dyDescent="0.25">
      <c r="A21" t="s">
        <v>18</v>
      </c>
      <c r="B21">
        <v>0</v>
      </c>
      <c r="C21">
        <f>IF(C8&gt;0,(C16/C8)*100,0)</f>
        <v>6.25</v>
      </c>
      <c r="D21">
        <f>IF(D8&gt;0,(D16/D8)*100,0)</f>
        <v>0</v>
      </c>
      <c r="E21">
        <f>IF(E8&gt;0,(E16/E8)*100,0)</f>
        <v>0</v>
      </c>
    </row>
    <row r="22" spans="1:5" x14ac:dyDescent="0.25">
      <c r="A22" t="s">
        <v>19</v>
      </c>
      <c r="B22">
        <v>0</v>
      </c>
      <c r="C22">
        <f>IF(C9&gt;0,(C17/C9)*100,0)</f>
        <v>0</v>
      </c>
      <c r="D22">
        <f>IF(D9&gt;0,(D17/D9)*100,0)</f>
        <v>0</v>
      </c>
      <c r="E22">
        <f>IF(E9&gt;0,(E17/E9)*100,0)</f>
        <v>0</v>
      </c>
    </row>
    <row r="24" spans="1:5" x14ac:dyDescent="0.25">
      <c r="A24" t="s">
        <v>20</v>
      </c>
      <c r="B24">
        <v>0</v>
      </c>
      <c r="C24">
        <v>1</v>
      </c>
      <c r="D24">
        <v>0</v>
      </c>
      <c r="E24">
        <v>2</v>
      </c>
    </row>
    <row r="26" spans="1:5" x14ac:dyDescent="0.25">
      <c r="A26" t="s">
        <v>21</v>
      </c>
      <c r="B26">
        <v>0</v>
      </c>
      <c r="C26">
        <v>20</v>
      </c>
      <c r="D26">
        <v>0</v>
      </c>
      <c r="E26">
        <v>0</v>
      </c>
    </row>
    <row r="27" spans="1:5" x14ac:dyDescent="0.25">
      <c r="A27" t="s">
        <v>22</v>
      </c>
      <c r="B27">
        <v>0</v>
      </c>
      <c r="C27">
        <v>20</v>
      </c>
      <c r="D27">
        <v>0</v>
      </c>
      <c r="E27">
        <v>0</v>
      </c>
    </row>
    <row r="29" spans="1:5" x14ac:dyDescent="0.25">
      <c r="A29" t="s">
        <v>23</v>
      </c>
      <c r="B29">
        <v>0</v>
      </c>
      <c r="C29">
        <v>15</v>
      </c>
      <c r="D29">
        <v>0</v>
      </c>
      <c r="E29">
        <v>0</v>
      </c>
    </row>
    <row r="30" spans="1:5" x14ac:dyDescent="0.25">
      <c r="A30" t="s">
        <v>22</v>
      </c>
      <c r="B30">
        <v>0</v>
      </c>
      <c r="C30">
        <v>15</v>
      </c>
      <c r="D30">
        <v>0</v>
      </c>
      <c r="E30">
        <v>0</v>
      </c>
    </row>
    <row r="32" spans="1:5" x14ac:dyDescent="0.25">
      <c r="A32" t="s">
        <v>24</v>
      </c>
      <c r="B32">
        <v>0</v>
      </c>
      <c r="C32">
        <f>IF(C26&gt;0,(C29/C26)*100,0)</f>
        <v>0</v>
      </c>
      <c r="D32">
        <f>IF(D26&gt;0,(D29/D26)*100,0)</f>
        <v>0</v>
      </c>
      <c r="E32">
        <f>IF(E26&gt;0,(E29/E26)*100,0)</f>
        <v>0</v>
      </c>
    </row>
    <row r="33" spans="1:5" x14ac:dyDescent="0.25">
      <c r="A33" t="s">
        <v>22</v>
      </c>
      <c r="B33">
        <v>0</v>
      </c>
      <c r="C33">
        <f>IF(C27&gt;0,(C30/C27)*100,0)</f>
        <v>0</v>
      </c>
      <c r="D33">
        <f>IF(D27&gt;0,(D30/D27)*100,0)</f>
        <v>0</v>
      </c>
      <c r="E33">
        <f>IF(E27&gt;0,(E30/E27)*100,0)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2026-08-15T16:51:24Z</dcterms:created>
  <dcterms:modified xsi:type="dcterms:W3CDTF">2026-08-15T16:51:24Z</dcterms:modified>
</cp:coreProperties>
</file>