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10Sight Agency\Excel\"/>
    </mc:Choice>
  </mc:AlternateContent>
  <xr:revisionPtr revIDLastSave="0" documentId="8_{5A448B29-B3C4-4F80-9692-550AE675FE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idates" sheetId="1" r:id="rId1"/>
  </sheets>
  <definedNames>
    <definedName name="_xlnm._FilterDatabase" localSheetId="0" hidden="1">Candidates!$A$1:$X$1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8" i="1" l="1"/>
  <c r="P38" i="1"/>
  <c r="P36" i="1"/>
  <c r="P35" i="1"/>
  <c r="P87" i="1"/>
  <c r="P81" i="1"/>
  <c r="P63" i="1"/>
  <c r="P50" i="1"/>
  <c r="P49" i="1"/>
  <c r="P30" i="1"/>
  <c r="P28" i="1"/>
  <c r="P27" i="1"/>
  <c r="P108" i="1"/>
  <c r="P84" i="1"/>
  <c r="P80" i="1"/>
  <c r="P76" i="1"/>
  <c r="P75" i="1"/>
  <c r="P71" i="1"/>
  <c r="P61" i="1"/>
  <c r="P60" i="1"/>
  <c r="P47" i="1"/>
  <c r="P13" i="1"/>
  <c r="P12" i="1"/>
  <c r="P10" i="1"/>
  <c r="P9" i="1"/>
  <c r="P7" i="1"/>
  <c r="P6" i="1"/>
  <c r="P5" i="1"/>
  <c r="P85" i="1"/>
  <c r="P79" i="1"/>
  <c r="P70" i="1"/>
  <c r="P68" i="1"/>
  <c r="P67" i="1"/>
  <c r="P54" i="1"/>
  <c r="P46" i="1"/>
  <c r="P45" i="1"/>
  <c r="P42" i="1"/>
  <c r="P3" i="1"/>
  <c r="P2" i="1"/>
  <c r="P128" i="1"/>
  <c r="P123" i="1"/>
  <c r="P122" i="1"/>
  <c r="P118" i="1"/>
  <c r="P117" i="1"/>
  <c r="P134" i="1"/>
  <c r="P133" i="1"/>
  <c r="P132" i="1"/>
  <c r="P131" i="1"/>
  <c r="P130" i="1"/>
  <c r="P129" i="1"/>
  <c r="P127" i="1"/>
  <c r="P126" i="1"/>
  <c r="P125" i="1"/>
  <c r="P124" i="1"/>
  <c r="P121" i="1"/>
  <c r="P120" i="1"/>
  <c r="P119" i="1"/>
  <c r="P116" i="1"/>
  <c r="P115" i="1"/>
  <c r="P114" i="1"/>
  <c r="P113" i="1"/>
  <c r="P112" i="1"/>
  <c r="P111" i="1"/>
  <c r="P110" i="1"/>
  <c r="P107" i="1"/>
  <c r="P106" i="1"/>
  <c r="P105" i="1"/>
  <c r="P104" i="1"/>
  <c r="P103" i="1"/>
  <c r="P102" i="1"/>
  <c r="P101" i="1"/>
  <c r="P100" i="1"/>
  <c r="P99" i="1"/>
  <c r="P98" i="1"/>
  <c r="P97" i="1"/>
  <c r="P41" i="1"/>
  <c r="P40" i="1"/>
  <c r="P39" i="1"/>
  <c r="P37" i="1"/>
  <c r="P34" i="1"/>
  <c r="P33" i="1"/>
  <c r="P32" i="1"/>
  <c r="P31" i="1"/>
  <c r="P24" i="1"/>
  <c r="P23" i="1"/>
  <c r="P22" i="1"/>
  <c r="P21" i="1"/>
  <c r="P20" i="1"/>
  <c r="P96" i="1"/>
  <c r="P95" i="1"/>
  <c r="P94" i="1"/>
  <c r="P93" i="1"/>
  <c r="P92" i="1"/>
  <c r="P91" i="1"/>
  <c r="P90" i="1"/>
  <c r="P89" i="1"/>
  <c r="P82" i="1"/>
  <c r="P78" i="1"/>
  <c r="P74" i="1"/>
  <c r="P73" i="1"/>
  <c r="P62" i="1"/>
  <c r="P59" i="1"/>
  <c r="P57" i="1"/>
  <c r="P48" i="1"/>
  <c r="P44" i="1"/>
  <c r="P29" i="1"/>
  <c r="P26" i="1"/>
  <c r="P19" i="1"/>
  <c r="P18" i="1"/>
  <c r="P17" i="1"/>
  <c r="P16" i="1"/>
  <c r="P15" i="1"/>
  <c r="P14" i="1"/>
  <c r="P109" i="1"/>
  <c r="P86" i="1"/>
  <c r="P77" i="1"/>
  <c r="P72" i="1"/>
  <c r="P56" i="1"/>
  <c r="P55" i="1"/>
  <c r="P43" i="1"/>
  <c r="P25" i="1"/>
  <c r="P11" i="1"/>
  <c r="P8" i="1"/>
  <c r="P83" i="1"/>
  <c r="P69" i="1"/>
  <c r="P66" i="1"/>
  <c r="P65" i="1"/>
  <c r="P64" i="1"/>
  <c r="P58" i="1"/>
  <c r="P53" i="1"/>
  <c r="P52" i="1"/>
  <c r="P51" i="1"/>
  <c r="P4" i="1"/>
</calcChain>
</file>

<file path=xl/sharedStrings.xml><?xml version="1.0" encoding="utf-8"?>
<sst xmlns="http://schemas.openxmlformats.org/spreadsheetml/2006/main" count="1623" uniqueCount="515">
  <si>
    <t>Employee Code</t>
  </si>
  <si>
    <t>Card No.</t>
  </si>
  <si>
    <t>Name</t>
  </si>
  <si>
    <t>Father / Husband Name</t>
  </si>
  <si>
    <t>Gender</t>
  </si>
  <si>
    <t>Department</t>
  </si>
  <si>
    <t>Section</t>
  </si>
  <si>
    <t>Line</t>
  </si>
  <si>
    <t>Sub Section</t>
  </si>
  <si>
    <t>Station No.</t>
  </si>
  <si>
    <t>Mentor</t>
  </si>
  <si>
    <t>Designation</t>
  </si>
  <si>
    <t>DOB</t>
  </si>
  <si>
    <t>D.O.J.</t>
  </si>
  <si>
    <t>Education</t>
  </si>
  <si>
    <t>Distt</t>
  </si>
  <si>
    <t>State</t>
  </si>
  <si>
    <t>PIN</t>
  </si>
  <si>
    <t>Bus Route</t>
  </si>
  <si>
    <t>E-Mail ID</t>
  </si>
  <si>
    <t>Mobile No</t>
  </si>
  <si>
    <t>Status</t>
  </si>
  <si>
    <t>Operator</t>
  </si>
  <si>
    <t>10th</t>
  </si>
  <si>
    <t>PRESENT</t>
  </si>
  <si>
    <t>AG2880</t>
  </si>
  <si>
    <t xml:space="preserve">RITIKA GOND </t>
  </si>
  <si>
    <t>SANJAY GOND</t>
  </si>
  <si>
    <t>FEMALE</t>
  </si>
  <si>
    <t>Assembly</t>
  </si>
  <si>
    <t>12th</t>
  </si>
  <si>
    <t>GORAKHPUR</t>
  </si>
  <si>
    <t>UTTAR PRADESH</t>
  </si>
  <si>
    <t>REWARI</t>
  </si>
  <si>
    <t>AG2881</t>
  </si>
  <si>
    <t xml:space="preserve">KUMARI SANJITA </t>
  </si>
  <si>
    <t>KRPASHANKAR</t>
  </si>
  <si>
    <t>KARNAWAS</t>
  </si>
  <si>
    <t>AG2882</t>
  </si>
  <si>
    <t xml:space="preserve">NANDANI YADAV </t>
  </si>
  <si>
    <t>SEVARAM YADAV</t>
  </si>
  <si>
    <t>C&amp;C</t>
  </si>
  <si>
    <t>DIPLOMA</t>
  </si>
  <si>
    <t>AMBEDKAR NAGAR</t>
  </si>
  <si>
    <t>AG2883</t>
  </si>
  <si>
    <t>CHANDRA KALA</t>
  </si>
  <si>
    <t>HARICHAND</t>
  </si>
  <si>
    <t>AG2884</t>
  </si>
  <si>
    <t xml:space="preserve">KUMARI ANJU </t>
  </si>
  <si>
    <t>RUDAL</t>
  </si>
  <si>
    <t>AG2885</t>
  </si>
  <si>
    <t xml:space="preserve">ANSHIKA </t>
  </si>
  <si>
    <t>GANGA GULAM PANDEY</t>
  </si>
  <si>
    <t>RAI BAREILLY</t>
  </si>
  <si>
    <t>AG2886</t>
  </si>
  <si>
    <t xml:space="preserve">PRITI CHAUHAN </t>
  </si>
  <si>
    <t>JHINKUCHAUHAN</t>
  </si>
  <si>
    <t>AG2887</t>
  </si>
  <si>
    <t>KUMUD</t>
  </si>
  <si>
    <t>AMARJEET</t>
  </si>
  <si>
    <t>AG2888</t>
  </si>
  <si>
    <t>SUMAN NISHAD</t>
  </si>
  <si>
    <t>MANOJ NISHAD</t>
  </si>
  <si>
    <t>SRC</t>
  </si>
  <si>
    <t>AG2889</t>
  </si>
  <si>
    <t xml:space="preserve">SHABNAM </t>
  </si>
  <si>
    <t>NOOR ASLAM</t>
  </si>
  <si>
    <t>SULTANPUR</t>
  </si>
  <si>
    <t>AG2890</t>
  </si>
  <si>
    <t xml:space="preserve">KEERTI DEVI </t>
  </si>
  <si>
    <t>CHOTELAL</t>
  </si>
  <si>
    <t>KANPUR DEHAT</t>
  </si>
  <si>
    <t>AG2891</t>
  </si>
  <si>
    <t xml:space="preserve">KAPOORI </t>
  </si>
  <si>
    <t>RAM KUMAR</t>
  </si>
  <si>
    <t>AG2892</t>
  </si>
  <si>
    <t>NISHA DEVI</t>
  </si>
  <si>
    <t>RAM SISHOR</t>
  </si>
  <si>
    <t>BANDA</t>
  </si>
  <si>
    <t>AG2893</t>
  </si>
  <si>
    <t xml:space="preserve">ARTI  </t>
  </si>
  <si>
    <t>SHIV KARAN</t>
  </si>
  <si>
    <t>UNNAO</t>
  </si>
  <si>
    <t xml:space="preserve">BAWAL </t>
  </si>
  <si>
    <t>AG2894</t>
  </si>
  <si>
    <t>MADHU</t>
  </si>
  <si>
    <t>ASHOK SINGH</t>
  </si>
  <si>
    <t>MUNGER</t>
  </si>
  <si>
    <t>BIHAR</t>
  </si>
  <si>
    <t>AG2895</t>
  </si>
  <si>
    <t>ANJALI TRIPATHI</t>
  </si>
  <si>
    <t>CHANDERSHEKHAR</t>
  </si>
  <si>
    <t>PRATAPGARH</t>
  </si>
  <si>
    <t>AG2896</t>
  </si>
  <si>
    <t xml:space="preserve">SHILPA </t>
  </si>
  <si>
    <t>TIJULI</t>
  </si>
  <si>
    <t>SANTAKABIR NAGAR</t>
  </si>
  <si>
    <t>AG2897</t>
  </si>
  <si>
    <t>SHILWANTI KUMARI</t>
  </si>
  <si>
    <t>RAMSHEWAK BARAIK</t>
  </si>
  <si>
    <t>LATEHAR</t>
  </si>
  <si>
    <t>JHARKHAND</t>
  </si>
  <si>
    <t>AG2898</t>
  </si>
  <si>
    <t>BACHCHULAL</t>
  </si>
  <si>
    <t>10TH</t>
  </si>
  <si>
    <t>AMETHI</t>
  </si>
  <si>
    <t>AG2899</t>
  </si>
  <si>
    <t>MANISHA SAROJ</t>
  </si>
  <si>
    <t>SHAMBHU SAROJ</t>
  </si>
  <si>
    <t>12TH</t>
  </si>
  <si>
    <t>AZAMGARH</t>
  </si>
  <si>
    <t>JALIYAWAS</t>
  </si>
  <si>
    <t>AG2900</t>
  </si>
  <si>
    <t>RAKHI</t>
  </si>
  <si>
    <t>PARMESHWAR</t>
  </si>
  <si>
    <t>AG2901</t>
  </si>
  <si>
    <t>MANISHA</t>
  </si>
  <si>
    <t>ASHOK</t>
  </si>
  <si>
    <t>KUSHINAGAR</t>
  </si>
  <si>
    <t>AG2902</t>
  </si>
  <si>
    <t>RIYA</t>
  </si>
  <si>
    <t xml:space="preserve">CHOTELAL </t>
  </si>
  <si>
    <t>APN1362</t>
  </si>
  <si>
    <t>KIRAN  KUSHWAHA</t>
  </si>
  <si>
    <t>THAKUR DAS</t>
  </si>
  <si>
    <t>GRADUATE</t>
  </si>
  <si>
    <t>JHANSI</t>
  </si>
  <si>
    <t>APN1363</t>
  </si>
  <si>
    <t xml:space="preserve">SUPRIYA KUMARI </t>
  </si>
  <si>
    <t>SANJAY</t>
  </si>
  <si>
    <t>GAYA</t>
  </si>
  <si>
    <t>APN1364</t>
  </si>
  <si>
    <t xml:space="preserve">SADHANA </t>
  </si>
  <si>
    <t>YADUNATH SINGH</t>
  </si>
  <si>
    <t>Quality</t>
  </si>
  <si>
    <t>Quality C&amp;C</t>
  </si>
  <si>
    <t>APN1365</t>
  </si>
  <si>
    <t xml:space="preserve">SANNU </t>
  </si>
  <si>
    <t>RAM LAKHAN</t>
  </si>
  <si>
    <t xml:space="preserve">BASTI </t>
  </si>
  <si>
    <t>APN1366</t>
  </si>
  <si>
    <t xml:space="preserve">LALITA </t>
  </si>
  <si>
    <t>BABLU</t>
  </si>
  <si>
    <t>MAHOBA</t>
  </si>
  <si>
    <t>APN1367</t>
  </si>
  <si>
    <t xml:space="preserve">UMA PATEL </t>
  </si>
  <si>
    <t>TEJ PRAKASH</t>
  </si>
  <si>
    <t>PRAYAGRAJ</t>
  </si>
  <si>
    <t>APN1368</t>
  </si>
  <si>
    <t xml:space="preserve">ARCHANA  </t>
  </si>
  <si>
    <t>ANAND</t>
  </si>
  <si>
    <t>APN1369</t>
  </si>
  <si>
    <t>REETA</t>
  </si>
  <si>
    <t>CHHOTE LAL</t>
  </si>
  <si>
    <t>APN1370</t>
  </si>
  <si>
    <t xml:space="preserve">GUDIYA </t>
  </si>
  <si>
    <t>PUTTAN</t>
  </si>
  <si>
    <t>BARABANKI</t>
  </si>
  <si>
    <t>APN1371</t>
  </si>
  <si>
    <t>BINDHYAAVASANI</t>
  </si>
  <si>
    <t>RAM BHAJAN</t>
  </si>
  <si>
    <t>MAHARAJGANJ</t>
  </si>
  <si>
    <t>APN1372</t>
  </si>
  <si>
    <t>SHAHIDA</t>
  </si>
  <si>
    <t>TARABUDDIN</t>
  </si>
  <si>
    <t>APN1373</t>
  </si>
  <si>
    <t>JYOTI</t>
  </si>
  <si>
    <t>APN1374</t>
  </si>
  <si>
    <t>RIMA</t>
  </si>
  <si>
    <t>SANJEET</t>
  </si>
  <si>
    <t>APN1375</t>
  </si>
  <si>
    <t>KARISHMA</t>
  </si>
  <si>
    <t>MADHUR KUMAR</t>
  </si>
  <si>
    <t>APN1376</t>
  </si>
  <si>
    <t>MANJU</t>
  </si>
  <si>
    <t>PAITU RAM</t>
  </si>
  <si>
    <t>KAUSHAMBI</t>
  </si>
  <si>
    <t>APN1377</t>
  </si>
  <si>
    <t>KOMAL</t>
  </si>
  <si>
    <t>NAMCHANDRA</t>
  </si>
  <si>
    <t>APN1378</t>
  </si>
  <si>
    <t>SUMAN</t>
  </si>
  <si>
    <t>SHIVCHANDRA</t>
  </si>
  <si>
    <t>FATEHPUR</t>
  </si>
  <si>
    <t>B07519</t>
  </si>
  <si>
    <t xml:space="preserve">NISHA </t>
  </si>
  <si>
    <t>SHYAM SUNDRA</t>
  </si>
  <si>
    <t>B07520</t>
  </si>
  <si>
    <t xml:space="preserve">RASHMI VERMA </t>
  </si>
  <si>
    <t>SHISPAL</t>
  </si>
  <si>
    <t>B07521</t>
  </si>
  <si>
    <t>GEETA DEVI</t>
  </si>
  <si>
    <t>BABULALPAL</t>
  </si>
  <si>
    <t>B4S7211</t>
  </si>
  <si>
    <t xml:space="preserve">RANI </t>
  </si>
  <si>
    <t>SUCHINDRA</t>
  </si>
  <si>
    <t>B4S7212</t>
  </si>
  <si>
    <t>ANCHAL SINGH</t>
  </si>
  <si>
    <t>MOHAN</t>
  </si>
  <si>
    <t>B4S7213</t>
  </si>
  <si>
    <t xml:space="preserve">REENA </t>
  </si>
  <si>
    <t>JALANDHAR</t>
  </si>
  <si>
    <t>B4S7214</t>
  </si>
  <si>
    <t xml:space="preserve">ABHILASHA </t>
  </si>
  <si>
    <t>LAKSHAMAN PRASAD</t>
  </si>
  <si>
    <t>B4S7215</t>
  </si>
  <si>
    <t xml:space="preserve">NITIN KUMAR SHAKYA </t>
  </si>
  <si>
    <t>KESHAV DEV</t>
  </si>
  <si>
    <t xml:space="preserve">SCM </t>
  </si>
  <si>
    <t>ITI</t>
  </si>
  <si>
    <t xml:space="preserve">MATHURA </t>
  </si>
  <si>
    <t>DHARUHERA</t>
  </si>
  <si>
    <t>B4S7216</t>
  </si>
  <si>
    <t xml:space="preserve">ROHIT </t>
  </si>
  <si>
    <t>RAM SHANKAR</t>
  </si>
  <si>
    <t xml:space="preserve">MANESAR </t>
  </si>
  <si>
    <t>BD0350</t>
  </si>
  <si>
    <t>VIDYA PATEL</t>
  </si>
  <si>
    <t>SWAMI NATH</t>
  </si>
  <si>
    <t>BD0351</t>
  </si>
  <si>
    <t xml:space="preserve">NEETU YADAV </t>
  </si>
  <si>
    <t>RAMVATAR</t>
  </si>
  <si>
    <t>KOTPUTLI</t>
  </si>
  <si>
    <t>RAJASTHAN</t>
  </si>
  <si>
    <t>BD0352</t>
  </si>
  <si>
    <t xml:space="preserve">RAJNI </t>
  </si>
  <si>
    <t>PAPPU SINGH</t>
  </si>
  <si>
    <t>KASGANJ</t>
  </si>
  <si>
    <t>BD0353</t>
  </si>
  <si>
    <t>SHWETA BHARTI</t>
  </si>
  <si>
    <t xml:space="preserve">JAGANATH </t>
  </si>
  <si>
    <t>BD0354</t>
  </si>
  <si>
    <t xml:space="preserve">ALKA </t>
  </si>
  <si>
    <t xml:space="preserve">RAKESH KUMAR </t>
  </si>
  <si>
    <t>KANPUR NAGAR</t>
  </si>
  <si>
    <t>BD0355</t>
  </si>
  <si>
    <t>NANDANI VISHWAKARMA</t>
  </si>
  <si>
    <t xml:space="preserve">RAJITRAM </t>
  </si>
  <si>
    <t>BD0356</t>
  </si>
  <si>
    <t xml:space="preserve">SHIVANI  </t>
  </si>
  <si>
    <t xml:space="preserve">SANTOSH KUMAR </t>
  </si>
  <si>
    <t>CM04450</t>
  </si>
  <si>
    <t xml:space="preserve">ANJALI </t>
  </si>
  <si>
    <t>SHAMBHU PRASAD</t>
  </si>
  <si>
    <t>PILIBHIT</t>
  </si>
  <si>
    <t>SUTHANA</t>
  </si>
  <si>
    <t>CM04451</t>
  </si>
  <si>
    <t>ANTIMA  YADAV</t>
  </si>
  <si>
    <t>KIRPASHANKAR YADAV</t>
  </si>
  <si>
    <t>GL1268</t>
  </si>
  <si>
    <t>SADHVI ADIVASI</t>
  </si>
  <si>
    <t>SAMPAT ADIWASI</t>
  </si>
  <si>
    <t>SATNA</t>
  </si>
  <si>
    <t>MADHYA PRADESH</t>
  </si>
  <si>
    <t>GL1269</t>
  </si>
  <si>
    <t>AMAR SINGH</t>
  </si>
  <si>
    <t>GL1270</t>
  </si>
  <si>
    <t xml:space="preserve">LAKSHMI </t>
  </si>
  <si>
    <t>CHANDRIKA PRASAD</t>
  </si>
  <si>
    <t>GL1271</t>
  </si>
  <si>
    <t>SALINI</t>
  </si>
  <si>
    <t>SIRACHCHAN</t>
  </si>
  <si>
    <t xml:space="preserve">SRC </t>
  </si>
  <si>
    <t>IP0142</t>
  </si>
  <si>
    <t xml:space="preserve">PRITI KUMARI </t>
  </si>
  <si>
    <t xml:space="preserve">VINOD RAM </t>
  </si>
  <si>
    <t>SIWAN</t>
  </si>
  <si>
    <t>IP0143</t>
  </si>
  <si>
    <t>GITA KUMARI</t>
  </si>
  <si>
    <t xml:space="preserve">BALAWANT MANJHI </t>
  </si>
  <si>
    <t>IP0144</t>
  </si>
  <si>
    <t>ROSHANI PATEL</t>
  </si>
  <si>
    <t xml:space="preserve">MAHANTH PATEL </t>
  </si>
  <si>
    <t>DEORIA</t>
  </si>
  <si>
    <t>IP0145</t>
  </si>
  <si>
    <t>PRIYA BHARTI</t>
  </si>
  <si>
    <t xml:space="preserve">ASHOK </t>
  </si>
  <si>
    <t>BASTI</t>
  </si>
  <si>
    <t>IP0146</t>
  </si>
  <si>
    <t xml:space="preserve">MANSI GUPTA </t>
  </si>
  <si>
    <t>GANGA PRASAD</t>
  </si>
  <si>
    <t>JAUNPUR</t>
  </si>
  <si>
    <t>IP0147</t>
  </si>
  <si>
    <t xml:space="preserve">RAMDEEN </t>
  </si>
  <si>
    <t>AYODHYA</t>
  </si>
  <si>
    <t>IP0148</t>
  </si>
  <si>
    <t xml:space="preserve">SUSHAMA </t>
  </si>
  <si>
    <t>IP0149</t>
  </si>
  <si>
    <t xml:space="preserve">SARALA </t>
  </si>
  <si>
    <t>KRISHANA PAL</t>
  </si>
  <si>
    <t>IP0150</t>
  </si>
  <si>
    <t xml:space="preserve">RAMCHANDRA </t>
  </si>
  <si>
    <t>IP0151</t>
  </si>
  <si>
    <t xml:space="preserve">SWATI </t>
  </si>
  <si>
    <t>RAVINDRA</t>
  </si>
  <si>
    <t>SHAHJAHANPUR</t>
  </si>
  <si>
    <t>IP0152</t>
  </si>
  <si>
    <t>ARPANA</t>
  </si>
  <si>
    <t>SHIV CHARAN KOL</t>
  </si>
  <si>
    <t>M05711</t>
  </si>
  <si>
    <t xml:space="preserve">RANI KUMARI </t>
  </si>
  <si>
    <t>OMPRAKASH</t>
  </si>
  <si>
    <t>M05712</t>
  </si>
  <si>
    <t xml:space="preserve">KHUSHBU KUMARI </t>
  </si>
  <si>
    <t>GHASITE LAL</t>
  </si>
  <si>
    <t xml:space="preserve">Quality Assembly </t>
  </si>
  <si>
    <t>NE2687</t>
  </si>
  <si>
    <t xml:space="preserve">SHALU GAUTAM </t>
  </si>
  <si>
    <t>MITTHU LAL</t>
  </si>
  <si>
    <t>NE2688</t>
  </si>
  <si>
    <t xml:space="preserve">VANDANA </t>
  </si>
  <si>
    <t>VINOD KUMAR</t>
  </si>
  <si>
    <t>PN0913</t>
  </si>
  <si>
    <t>GEET DEVI</t>
  </si>
  <si>
    <t>INDRA KUMAR</t>
  </si>
  <si>
    <t>PN0914</t>
  </si>
  <si>
    <t>CHAIN SINGH</t>
  </si>
  <si>
    <t>CHAMBA</t>
  </si>
  <si>
    <t xml:space="preserve">HIMACHAL PRADESH </t>
  </si>
  <si>
    <t>PN0915</t>
  </si>
  <si>
    <t xml:space="preserve">ANURADHA </t>
  </si>
  <si>
    <t>SHYAM LALIT</t>
  </si>
  <si>
    <t>RT0490</t>
  </si>
  <si>
    <t xml:space="preserve">AARTI KUMARI </t>
  </si>
  <si>
    <t>VISHARAM</t>
  </si>
  <si>
    <t>KARAULI</t>
  </si>
  <si>
    <t>SV04580</t>
  </si>
  <si>
    <t>RANJANA YADAV</t>
  </si>
  <si>
    <t>AYODHYA PRASAD</t>
  </si>
  <si>
    <t>SV04581</t>
  </si>
  <si>
    <t>RANJANI BHARATI</t>
  </si>
  <si>
    <t>CHAITU</t>
  </si>
  <si>
    <t>TM0937</t>
  </si>
  <si>
    <t xml:space="preserve">AKANKSHA PATEL </t>
  </si>
  <si>
    <t>RAM BHAWAN VERMA</t>
  </si>
  <si>
    <t>TM0941</t>
  </si>
  <si>
    <t>POOJA KUMARI MEENA</t>
  </si>
  <si>
    <t>KAILASH CHANDRA MEENA</t>
  </si>
  <si>
    <t>BHILWARA</t>
  </si>
  <si>
    <t>TM0942</t>
  </si>
  <si>
    <t xml:space="preserve">MAHIMA </t>
  </si>
  <si>
    <t>MANOJ KUMAR</t>
  </si>
  <si>
    <t>MAU</t>
  </si>
  <si>
    <t>TRB0328</t>
  </si>
  <si>
    <t>ARVIND KUMAR MAURYA</t>
  </si>
  <si>
    <t>JAYRAM MAURYA</t>
  </si>
  <si>
    <t>MALE</t>
  </si>
  <si>
    <t>Trainee</t>
  </si>
  <si>
    <t>POST GRADUATE</t>
  </si>
  <si>
    <t>UH1741</t>
  </si>
  <si>
    <t xml:space="preserve">ARPITA </t>
  </si>
  <si>
    <t>RAM PRAKASH DUBEY</t>
  </si>
  <si>
    <t>UH1742</t>
  </si>
  <si>
    <t>PRIYA RAJBHAR</t>
  </si>
  <si>
    <t>SUBHAS RAJ</t>
  </si>
  <si>
    <t>UH1743</t>
  </si>
  <si>
    <t xml:space="preserve">KM SIMPI </t>
  </si>
  <si>
    <t>GIRADHARI</t>
  </si>
  <si>
    <t>UH1744</t>
  </si>
  <si>
    <t xml:space="preserve">MAMTA RAJBHAR </t>
  </si>
  <si>
    <t>UH1745</t>
  </si>
  <si>
    <t xml:space="preserve">NIRANKI </t>
  </si>
  <si>
    <t>UH1746</t>
  </si>
  <si>
    <t>CHANDA RAJBHAR</t>
  </si>
  <si>
    <t>GUDDU RAJBHAR</t>
  </si>
  <si>
    <t>UH1747</t>
  </si>
  <si>
    <t xml:space="preserve">NITU RAJBHAR </t>
  </si>
  <si>
    <t>MEVALAL</t>
  </si>
  <si>
    <t>UH1748</t>
  </si>
  <si>
    <t>POOJA  RAJBHAR</t>
  </si>
  <si>
    <t>RAMDHANI RAJBHAR</t>
  </si>
  <si>
    <t>UH1749</t>
  </si>
  <si>
    <t>SANJANA</t>
  </si>
  <si>
    <t>RA BHAWAN</t>
  </si>
  <si>
    <t>UH1750</t>
  </si>
  <si>
    <t>SALU KUMARI</t>
  </si>
  <si>
    <t>DEELIP MAHETO</t>
  </si>
  <si>
    <t>UH1751</t>
  </si>
  <si>
    <t>NEELAM SHARMA</t>
  </si>
  <si>
    <t>NAYAN SHARMA</t>
  </si>
  <si>
    <t>UH1752</t>
  </si>
  <si>
    <t>SHALINI</t>
  </si>
  <si>
    <t>NARESH BABU</t>
  </si>
  <si>
    <t>AURAIYA</t>
  </si>
  <si>
    <t>UH1753</t>
  </si>
  <si>
    <t>SUNITA DEVI</t>
  </si>
  <si>
    <t>SUBHANSHU KUMAR</t>
  </si>
  <si>
    <t>UH1754</t>
  </si>
  <si>
    <t>SHIVANI</t>
  </si>
  <si>
    <t>ANIRUDDHA SINGH</t>
  </si>
  <si>
    <t>VN01179</t>
  </si>
  <si>
    <t>MAMTA DEVI</t>
  </si>
  <si>
    <t>BALCHAND</t>
  </si>
  <si>
    <t>VN01180</t>
  </si>
  <si>
    <t>ROLI CHAUHAN</t>
  </si>
  <si>
    <t>RAMSOCH CHAUHAN</t>
  </si>
  <si>
    <t>VN01181</t>
  </si>
  <si>
    <t xml:space="preserve">SEEMA </t>
  </si>
  <si>
    <t>ANIL KUMAR</t>
  </si>
  <si>
    <t>SUTHANI</t>
  </si>
  <si>
    <t>VN01182</t>
  </si>
  <si>
    <t>JYOTI KUMARI</t>
  </si>
  <si>
    <t>NAGESHWAR PRASHAD</t>
  </si>
  <si>
    <t>VN01183</t>
  </si>
  <si>
    <t>SHIVANGI</t>
  </si>
  <si>
    <t>NANDLAL</t>
  </si>
  <si>
    <t>VS03295</t>
  </si>
  <si>
    <t xml:space="preserve">SAPNA DEVI YADAV </t>
  </si>
  <si>
    <t>HARISH VARDHAN SINGH</t>
  </si>
  <si>
    <t>VS03296</t>
  </si>
  <si>
    <t xml:space="preserve">SAPNA </t>
  </si>
  <si>
    <t>BAINSU RAM</t>
  </si>
  <si>
    <t>KANGRA</t>
  </si>
  <si>
    <t>IP0176</t>
  </si>
  <si>
    <t>IP0177</t>
  </si>
  <si>
    <t>IP0174</t>
  </si>
  <si>
    <t>IP0175</t>
  </si>
  <si>
    <t>IP0173</t>
  </si>
  <si>
    <t>IP0169</t>
  </si>
  <si>
    <t>IP0172</t>
  </si>
  <si>
    <t>IP0171</t>
  </si>
  <si>
    <t>IP0170</t>
  </si>
  <si>
    <t>IP0168</t>
  </si>
  <si>
    <t>IP0167</t>
  </si>
  <si>
    <t>IP0166</t>
  </si>
  <si>
    <t>IP0165</t>
  </si>
  <si>
    <t>IP0164</t>
  </si>
  <si>
    <t>IP0163</t>
  </si>
  <si>
    <t>IP0160</t>
  </si>
  <si>
    <t>IP0159</t>
  </si>
  <si>
    <t>IP0161</t>
  </si>
  <si>
    <t>IP0162</t>
  </si>
  <si>
    <t>IP0156</t>
  </si>
  <si>
    <t>IP0153</t>
  </si>
  <si>
    <t>IP0158</t>
  </si>
  <si>
    <t>IP0157</t>
  </si>
  <si>
    <t>IP0155</t>
  </si>
  <si>
    <t>IP0154</t>
  </si>
  <si>
    <t xml:space="preserve">VIJAY KUMAR </t>
  </si>
  <si>
    <t>PUPPU RAM</t>
  </si>
  <si>
    <t>GAGANDEEP SINGH</t>
  </si>
  <si>
    <t>JEET SINGH</t>
  </si>
  <si>
    <t>BHEEN SAIN</t>
  </si>
  <si>
    <t>KHIYA RAM</t>
  </si>
  <si>
    <t>RADHE SHYAM</t>
  </si>
  <si>
    <t>RAMESHWAR LAL</t>
  </si>
  <si>
    <t>HUSAN DEEP SINGH</t>
  </si>
  <si>
    <t>HARJEET SINGH</t>
  </si>
  <si>
    <t>RANJITA KUMARI</t>
  </si>
  <si>
    <t>VIJAY PASWAN</t>
  </si>
  <si>
    <t>KIRTI</t>
  </si>
  <si>
    <t>SHIV MANGAL</t>
  </si>
  <si>
    <t>RENU</t>
  </si>
  <si>
    <t>BANVARI</t>
  </si>
  <si>
    <t>MANISHA KUMARI</t>
  </si>
  <si>
    <t>SHREE KANT RAM</t>
  </si>
  <si>
    <t>AKANKSHA VERMA</t>
  </si>
  <si>
    <t>SANJEEV KUMAR</t>
  </si>
  <si>
    <t>KAREENA GAUTAM</t>
  </si>
  <si>
    <t>NAKSHTRA PAL</t>
  </si>
  <si>
    <t>PRIYA KUMARI</t>
  </si>
  <si>
    <t>BIPIN SHARMA</t>
  </si>
  <si>
    <t>NAKCHED</t>
  </si>
  <si>
    <t xml:space="preserve">PRATIBHA DEVI </t>
  </si>
  <si>
    <t>BANWARI LAL</t>
  </si>
  <si>
    <t>CHANDA KUMARI</t>
  </si>
  <si>
    <t>SHAMBHU SAH</t>
  </si>
  <si>
    <t>PINKY KUMARI KARUA</t>
  </si>
  <si>
    <t>POOJA</t>
  </si>
  <si>
    <t>MAJAR SINGH</t>
  </si>
  <si>
    <t>ARCHANA KUMARI</t>
  </si>
  <si>
    <t>RAM NARESH PRASAD</t>
  </si>
  <si>
    <t>NANDANI KUMARI</t>
  </si>
  <si>
    <t>LALBABU MAHTO</t>
  </si>
  <si>
    <t xml:space="preserve">SOMA </t>
  </si>
  <si>
    <t xml:space="preserve">ASA RAM </t>
  </si>
  <si>
    <t xml:space="preserve">RANAM DEEP KAUR </t>
  </si>
  <si>
    <t>SURJEET SINGH</t>
  </si>
  <si>
    <t>ANISHA</t>
  </si>
  <si>
    <t>SUBHASH CHANDER</t>
  </si>
  <si>
    <t xml:space="preserve">KAILASH </t>
  </si>
  <si>
    <t xml:space="preserve">OM PRAKASH </t>
  </si>
  <si>
    <t xml:space="preserve">NEELAM RANI </t>
  </si>
  <si>
    <t xml:space="preserve">HET RAM </t>
  </si>
  <si>
    <t>SHRI DEVI</t>
  </si>
  <si>
    <t>PRAHLAD</t>
  </si>
  <si>
    <t>GANGA NAGAR</t>
  </si>
  <si>
    <t>ROHTAS</t>
  </si>
  <si>
    <t>SITAPUR</t>
  </si>
  <si>
    <t>BEGUSARI</t>
  </si>
  <si>
    <t>RAEBARELI</t>
  </si>
  <si>
    <t>WEST SINGHBHUM</t>
  </si>
  <si>
    <t xml:space="preserve">GOPALGANJ </t>
  </si>
  <si>
    <t>BAWAL</t>
  </si>
  <si>
    <t xml:space="preserve">Expected Handover Date </t>
  </si>
  <si>
    <t>KAMINI</t>
  </si>
  <si>
    <t xml:space="preserve">Contractor Name </t>
  </si>
  <si>
    <t>AG ENTERPRISES</t>
  </si>
  <si>
    <t>FME</t>
  </si>
  <si>
    <t>BS ENTERPRISES</t>
  </si>
  <si>
    <t xml:space="preserve">YSF </t>
  </si>
  <si>
    <t>B4S SOLUTIONS PVT. LTD.</t>
  </si>
  <si>
    <t xml:space="preserve">BBD SOLUTIONS </t>
  </si>
  <si>
    <t>COSMOS MANPOWER PVT.LTD.</t>
  </si>
  <si>
    <t>A INSIGHT MANPOWER SERVICES</t>
  </si>
  <si>
    <t>INFINITE INDUSTRIAL SOLUTIONS PVT.LTD.</t>
  </si>
  <si>
    <t xml:space="preserve">JATIN &amp; COMPANY </t>
  </si>
  <si>
    <t>NEHA ENTERPRISES</t>
  </si>
  <si>
    <t>VRC PRIVATE LIMITED</t>
  </si>
  <si>
    <t>RS  ENTERPRISES</t>
  </si>
  <si>
    <t>VISION INDIA SERVICES PVT.LTD.</t>
  </si>
  <si>
    <t>CHARAN SINGH</t>
  </si>
  <si>
    <t>UNITED HUMAN RESOURCE</t>
  </si>
  <si>
    <t>VONE INDIA SERVICES PVT. LTD.</t>
  </si>
  <si>
    <t>VSS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</si>
</sst>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9]dd\-mmm\-yy;@"/>
  </numFmts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64" fontId="0" fillId="2" borderId="1" xfId="0" applyNumberFormat="1" applyFill="1" applyBorder="1"/>
    <xf numFmtId="164" fontId="0" fillId="0" borderId="1" xfId="0" applyNumberFormat="1" applyBorder="1" applyAlignment="1">
      <alignment vertical="center"/>
    </xf>
    <xf numFmtId="1" fontId="0" fillId="2" borderId="1" xfId="0" applyNumberFormat="1" applyFill="1" applyBorder="1"/>
    <xf numFmtId="0" fontId="0" fillId="0" borderId="1" xfId="0" applyBorder="1" applyAlignment="1">
      <alignment horizontal="right"/>
    </xf>
    <xf numFmtId="14" fontId="0" fillId="2" borderId="1" xfId="0" applyNumberFormat="1" applyFill="1" applyBorder="1"/>
    <xf numFmtId="16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4"/>
  <sheetViews>
    <sheetView tabSelected="1" workbookViewId="0">
      <selection activeCell="D9" sqref="D9"/>
    </sheetView>
  </sheetViews>
  <sheetFormatPr defaultRowHeight="15.6" x14ac:dyDescent="0.3"/>
  <cols>
    <col min="1" max="1" width="36.3984375" bestFit="1" customWidth="1"/>
    <col min="2" max="2" width="13.5" bestFit="1" customWidth="1"/>
    <col min="3" max="3" width="7.8984375" bestFit="1" customWidth="1"/>
    <col min="4" max="4" width="22.09765625" bestFit="1" customWidth="1"/>
    <col min="5" max="5" width="23.19921875" bestFit="1" customWidth="1"/>
    <col min="6" max="6" width="7.3984375" bestFit="1" customWidth="1"/>
    <col min="7" max="7" width="10.5" bestFit="1" customWidth="1"/>
    <col min="8" max="8" width="15.59765625" bestFit="1" customWidth="1"/>
    <col min="9" max="9" width="9.59765625" customWidth="1"/>
    <col min="10" max="10" width="10.09765625" bestFit="1" customWidth="1"/>
    <col min="11" max="11" width="9.69921875" bestFit="1" customWidth="1"/>
    <col min="12" max="12" width="6.69921875" bestFit="1" customWidth="1"/>
    <col min="13" max="13" width="10.59765625" bestFit="1" customWidth="1"/>
    <col min="14" max="14" width="14.8984375" bestFit="1" customWidth="1"/>
    <col min="15" max="15" width="17.69921875" bestFit="1" customWidth="1"/>
    <col min="16" max="16" width="21.69921875" bestFit="1" customWidth="1"/>
    <col min="17" max="17" width="18.59765625" bestFit="1" customWidth="1"/>
    <col min="18" max="18" width="17.69921875" bestFit="1" customWidth="1"/>
    <col min="19" max="19" width="18.59765625" bestFit="1" customWidth="1"/>
    <col min="21" max="21" width="10.8984375" bestFit="1" customWidth="1"/>
    <col min="22" max="22" width="8.3984375" bestFit="1" customWidth="1"/>
    <col min="23" max="23" width="10.8984375" bestFit="1" customWidth="1"/>
  </cols>
  <sheetData>
    <row r="1" spans="1:24" x14ac:dyDescent="0.3">
      <c r="A1" t="s">
        <v>496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494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</row>
    <row r="2" spans="1:24" x14ac:dyDescent="0.3">
      <c r="A2" s="3" t="s">
        <v>497</v>
      </c>
      <c r="B2" s="9" t="s">
        <v>25</v>
      </c>
      <c r="C2" s="1">
        <v>12880</v>
      </c>
      <c r="D2" s="2" t="s">
        <v>26</v>
      </c>
      <c r="E2" s="3" t="s">
        <v>27</v>
      </c>
      <c r="F2" s="3" t="s">
        <v>28</v>
      </c>
      <c r="G2" s="4" t="s">
        <v>29</v>
      </c>
      <c r="H2" s="3"/>
      <c r="I2" s="3"/>
      <c r="J2" s="3"/>
      <c r="K2" s="3"/>
      <c r="L2" s="3"/>
      <c r="M2" s="3" t="s">
        <v>22</v>
      </c>
      <c r="N2" s="5">
        <v>39055</v>
      </c>
      <c r="O2" s="6">
        <v>46174</v>
      </c>
      <c r="P2" s="6">
        <f>O2+2</f>
        <v>46176</v>
      </c>
      <c r="Q2" s="7" t="s">
        <v>30</v>
      </c>
      <c r="R2" s="2" t="s">
        <v>31</v>
      </c>
      <c r="S2" s="3" t="s">
        <v>32</v>
      </c>
      <c r="T2" s="3">
        <v>273165</v>
      </c>
      <c r="U2" s="2" t="s">
        <v>33</v>
      </c>
      <c r="V2" s="3"/>
      <c r="W2" s="7">
        <v>9936349871</v>
      </c>
      <c r="X2" s="2" t="s">
        <v>24</v>
      </c>
    </row>
    <row r="3" spans="1:24" x14ac:dyDescent="0.3">
      <c r="A3" s="3" t="s">
        <v>497</v>
      </c>
      <c r="B3" s="9" t="s">
        <v>34</v>
      </c>
      <c r="C3" s="1">
        <v>12881</v>
      </c>
      <c r="D3" s="2" t="s">
        <v>35</v>
      </c>
      <c r="E3" s="3" t="s">
        <v>36</v>
      </c>
      <c r="F3" s="3" t="s">
        <v>28</v>
      </c>
      <c r="G3" s="4" t="s">
        <v>29</v>
      </c>
      <c r="H3" s="3"/>
      <c r="I3" s="3"/>
      <c r="J3" s="3"/>
      <c r="K3" s="3"/>
      <c r="L3" s="3"/>
      <c r="M3" s="3" t="s">
        <v>22</v>
      </c>
      <c r="N3" s="5">
        <v>35796</v>
      </c>
      <c r="O3" s="6">
        <v>46174</v>
      </c>
      <c r="P3" s="6">
        <f>O3+2</f>
        <v>46176</v>
      </c>
      <c r="Q3" s="7" t="s">
        <v>30</v>
      </c>
      <c r="R3" s="2" t="s">
        <v>31</v>
      </c>
      <c r="S3" s="3" t="s">
        <v>32</v>
      </c>
      <c r="T3" s="3">
        <v>273209</v>
      </c>
      <c r="U3" s="2" t="s">
        <v>37</v>
      </c>
      <c r="V3" s="3"/>
      <c r="W3" s="7">
        <v>9120191645</v>
      </c>
      <c r="X3" s="2" t="s">
        <v>24</v>
      </c>
    </row>
    <row r="4" spans="1:24" x14ac:dyDescent="0.3">
      <c r="A4" s="3" t="s">
        <v>497</v>
      </c>
      <c r="B4" s="9" t="s">
        <v>38</v>
      </c>
      <c r="C4" s="1">
        <v>12882</v>
      </c>
      <c r="D4" s="2" t="s">
        <v>39</v>
      </c>
      <c r="E4" s="3" t="s">
        <v>40</v>
      </c>
      <c r="F4" s="3" t="s">
        <v>28</v>
      </c>
      <c r="G4" s="4" t="s">
        <v>41</v>
      </c>
      <c r="H4" s="3"/>
      <c r="I4" s="3"/>
      <c r="J4" s="3"/>
      <c r="K4" s="3"/>
      <c r="L4" s="3"/>
      <c r="M4" s="3" t="s">
        <v>22</v>
      </c>
      <c r="N4" s="5">
        <v>38169</v>
      </c>
      <c r="O4" s="6">
        <v>46174</v>
      </c>
      <c r="P4" s="6">
        <f>O4+4</f>
        <v>46178</v>
      </c>
      <c r="Q4" s="7" t="s">
        <v>42</v>
      </c>
      <c r="R4" s="2" t="s">
        <v>43</v>
      </c>
      <c r="S4" s="3" t="s">
        <v>32</v>
      </c>
      <c r="T4" s="3">
        <v>224129</v>
      </c>
      <c r="U4" s="2" t="s">
        <v>33</v>
      </c>
      <c r="V4" s="3"/>
      <c r="W4" s="7">
        <v>7307562046</v>
      </c>
      <c r="X4" s="2" t="s">
        <v>24</v>
      </c>
    </row>
    <row r="5" spans="1:24" x14ac:dyDescent="0.3">
      <c r="A5" s="3" t="s">
        <v>497</v>
      </c>
      <c r="B5" s="9" t="s">
        <v>44</v>
      </c>
      <c r="C5" s="1">
        <v>12883</v>
      </c>
      <c r="D5" s="2" t="s">
        <v>45</v>
      </c>
      <c r="E5" s="3" t="s">
        <v>46</v>
      </c>
      <c r="F5" s="3" t="s">
        <v>28</v>
      </c>
      <c r="G5" s="4" t="s">
        <v>29</v>
      </c>
      <c r="H5" s="3"/>
      <c r="I5" s="3"/>
      <c r="J5" s="3"/>
      <c r="K5" s="3"/>
      <c r="L5" s="3"/>
      <c r="M5" s="3" t="s">
        <v>22</v>
      </c>
      <c r="N5" s="5">
        <v>35618</v>
      </c>
      <c r="O5" s="6">
        <v>46175</v>
      </c>
      <c r="P5" s="6">
        <f>O5+2</f>
        <v>46177</v>
      </c>
      <c r="Q5" s="7" t="s">
        <v>30</v>
      </c>
      <c r="R5" s="2" t="s">
        <v>31</v>
      </c>
      <c r="S5" s="3" t="s">
        <v>32</v>
      </c>
      <c r="T5" s="3">
        <v>273209</v>
      </c>
      <c r="U5" s="2" t="s">
        <v>37</v>
      </c>
      <c r="V5" s="3"/>
      <c r="W5" s="7">
        <v>8317080357</v>
      </c>
      <c r="X5" s="2" t="s">
        <v>24</v>
      </c>
    </row>
    <row r="6" spans="1:24" x14ac:dyDescent="0.3">
      <c r="A6" s="3" t="s">
        <v>497</v>
      </c>
      <c r="B6" s="9" t="s">
        <v>47</v>
      </c>
      <c r="C6" s="1">
        <v>12884</v>
      </c>
      <c r="D6" s="2" t="s">
        <v>48</v>
      </c>
      <c r="E6" s="3" t="s">
        <v>49</v>
      </c>
      <c r="F6" s="3" t="s">
        <v>28</v>
      </c>
      <c r="G6" s="4" t="s">
        <v>29</v>
      </c>
      <c r="H6" s="3"/>
      <c r="I6" s="3"/>
      <c r="J6" s="3"/>
      <c r="K6" s="3"/>
      <c r="L6" s="3"/>
      <c r="M6" s="3" t="s">
        <v>22</v>
      </c>
      <c r="N6" s="5">
        <v>38905</v>
      </c>
      <c r="O6" s="6">
        <v>46175</v>
      </c>
      <c r="P6" s="6">
        <f t="shared" ref="P6:P7" si="0">O6+2</f>
        <v>46177</v>
      </c>
      <c r="Q6" s="7" t="s">
        <v>23</v>
      </c>
      <c r="R6" s="2" t="s">
        <v>31</v>
      </c>
      <c r="S6" s="3" t="s">
        <v>32</v>
      </c>
      <c r="T6" s="3">
        <v>273211</v>
      </c>
      <c r="U6" s="2" t="s">
        <v>37</v>
      </c>
      <c r="V6" s="3"/>
      <c r="W6" s="7">
        <v>8009891550</v>
      </c>
      <c r="X6" s="2" t="s">
        <v>24</v>
      </c>
    </row>
    <row r="7" spans="1:24" x14ac:dyDescent="0.3">
      <c r="A7" s="3" t="s">
        <v>497</v>
      </c>
      <c r="B7" s="9" t="s">
        <v>50</v>
      </c>
      <c r="C7" s="1">
        <v>12885</v>
      </c>
      <c r="D7" s="2" t="s">
        <v>51</v>
      </c>
      <c r="E7" s="3" t="s">
        <v>52</v>
      </c>
      <c r="F7" s="3" t="s">
        <v>28</v>
      </c>
      <c r="G7" s="4" t="s">
        <v>29</v>
      </c>
      <c r="H7" s="3"/>
      <c r="I7" s="3"/>
      <c r="J7" s="3"/>
      <c r="K7" s="3"/>
      <c r="L7" s="3"/>
      <c r="M7" s="3" t="s">
        <v>22</v>
      </c>
      <c r="N7" s="5">
        <v>36382</v>
      </c>
      <c r="O7" s="6">
        <v>46175</v>
      </c>
      <c r="P7" s="6">
        <f t="shared" si="0"/>
        <v>46177</v>
      </c>
      <c r="Q7" s="7" t="s">
        <v>23</v>
      </c>
      <c r="R7" s="2" t="s">
        <v>53</v>
      </c>
      <c r="S7" s="3" t="s">
        <v>32</v>
      </c>
      <c r="T7" s="3">
        <v>229130</v>
      </c>
      <c r="U7" s="2" t="s">
        <v>37</v>
      </c>
      <c r="V7" s="3"/>
      <c r="W7" s="7">
        <v>9696071281</v>
      </c>
      <c r="X7" s="2" t="s">
        <v>24</v>
      </c>
    </row>
    <row r="8" spans="1:24" x14ac:dyDescent="0.3">
      <c r="A8" s="3" t="s">
        <v>497</v>
      </c>
      <c r="B8" s="9" t="s">
        <v>54</v>
      </c>
      <c r="C8" s="1">
        <v>12886</v>
      </c>
      <c r="D8" s="2" t="s">
        <v>55</v>
      </c>
      <c r="E8" s="3" t="s">
        <v>56</v>
      </c>
      <c r="F8" s="3" t="s">
        <v>28</v>
      </c>
      <c r="G8" s="4" t="s">
        <v>41</v>
      </c>
      <c r="H8" s="3"/>
      <c r="I8" s="3"/>
      <c r="J8" s="3"/>
      <c r="K8" s="3"/>
      <c r="L8" s="3"/>
      <c r="M8" s="3" t="s">
        <v>22</v>
      </c>
      <c r="N8" s="5">
        <v>35599</v>
      </c>
      <c r="O8" s="6">
        <v>46175</v>
      </c>
      <c r="P8" s="6">
        <f>O8+5</f>
        <v>46180</v>
      </c>
      <c r="Q8" s="7" t="s">
        <v>30</v>
      </c>
      <c r="R8" s="2" t="s">
        <v>31</v>
      </c>
      <c r="S8" s="3" t="s">
        <v>32</v>
      </c>
      <c r="T8" s="3">
        <v>273007</v>
      </c>
      <c r="U8" s="2" t="s">
        <v>37</v>
      </c>
      <c r="V8" s="3"/>
      <c r="W8" s="7">
        <v>9198614393</v>
      </c>
      <c r="X8" s="2" t="s">
        <v>24</v>
      </c>
    </row>
    <row r="9" spans="1:24" x14ac:dyDescent="0.3">
      <c r="A9" s="3" t="s">
        <v>497</v>
      </c>
      <c r="B9" s="9" t="s">
        <v>57</v>
      </c>
      <c r="C9" s="1">
        <v>12887</v>
      </c>
      <c r="D9" s="2" t="s">
        <v>58</v>
      </c>
      <c r="E9" s="3" t="s">
        <v>59</v>
      </c>
      <c r="F9" s="3" t="s">
        <v>28</v>
      </c>
      <c r="G9" s="4" t="s">
        <v>29</v>
      </c>
      <c r="H9" s="3"/>
      <c r="I9" s="3"/>
      <c r="J9" s="3"/>
      <c r="K9" s="3"/>
      <c r="L9" s="3"/>
      <c r="M9" s="3" t="s">
        <v>22</v>
      </c>
      <c r="N9" s="5">
        <v>36120</v>
      </c>
      <c r="O9" s="6">
        <v>46175</v>
      </c>
      <c r="P9" s="6">
        <f t="shared" ref="P9:P10" si="1">O9+2</f>
        <v>46177</v>
      </c>
      <c r="Q9" s="7" t="s">
        <v>30</v>
      </c>
      <c r="R9" s="2" t="s">
        <v>31</v>
      </c>
      <c r="S9" s="3" t="s">
        <v>32</v>
      </c>
      <c r="T9" s="3">
        <v>273203</v>
      </c>
      <c r="U9" s="2" t="s">
        <v>33</v>
      </c>
      <c r="V9" s="3"/>
      <c r="W9" s="7">
        <v>6307566437</v>
      </c>
      <c r="X9" s="2" t="s">
        <v>24</v>
      </c>
    </row>
    <row r="10" spans="1:24" x14ac:dyDescent="0.3">
      <c r="A10" s="3" t="s">
        <v>497</v>
      </c>
      <c r="B10" s="9" t="s">
        <v>60</v>
      </c>
      <c r="C10" s="1">
        <v>12888</v>
      </c>
      <c r="D10" s="2" t="s">
        <v>61</v>
      </c>
      <c r="E10" s="3" t="s">
        <v>62</v>
      </c>
      <c r="F10" s="3" t="s">
        <v>28</v>
      </c>
      <c r="G10" s="4" t="s">
        <v>63</v>
      </c>
      <c r="H10" s="3"/>
      <c r="I10" s="3"/>
      <c r="J10" s="3"/>
      <c r="K10" s="3"/>
      <c r="L10" s="3"/>
      <c r="M10" s="3" t="s">
        <v>22</v>
      </c>
      <c r="N10" s="5">
        <v>35065</v>
      </c>
      <c r="O10" s="6">
        <v>46175</v>
      </c>
      <c r="P10" s="6">
        <f t="shared" si="1"/>
        <v>46177</v>
      </c>
      <c r="Q10" s="7" t="s">
        <v>30</v>
      </c>
      <c r="R10" s="2" t="s">
        <v>31</v>
      </c>
      <c r="S10" s="3" t="s">
        <v>32</v>
      </c>
      <c r="T10" s="3">
        <v>273203</v>
      </c>
      <c r="U10" s="2" t="s">
        <v>33</v>
      </c>
      <c r="V10" s="3"/>
      <c r="W10" s="7">
        <v>9219017126</v>
      </c>
      <c r="X10" s="2" t="s">
        <v>24</v>
      </c>
    </row>
    <row r="11" spans="1:24" x14ac:dyDescent="0.3">
      <c r="A11" s="3" t="s">
        <v>497</v>
      </c>
      <c r="B11" s="9" t="s">
        <v>64</v>
      </c>
      <c r="C11" s="1">
        <v>12889</v>
      </c>
      <c r="D11" s="2" t="s">
        <v>65</v>
      </c>
      <c r="E11" s="3" t="s">
        <v>66</v>
      </c>
      <c r="F11" s="3" t="s">
        <v>28</v>
      </c>
      <c r="G11" s="4" t="s">
        <v>41</v>
      </c>
      <c r="H11" s="3"/>
      <c r="I11" s="3"/>
      <c r="J11" s="3"/>
      <c r="K11" s="3"/>
      <c r="L11" s="3"/>
      <c r="M11" s="3" t="s">
        <v>22</v>
      </c>
      <c r="N11" s="5">
        <v>38204</v>
      </c>
      <c r="O11" s="6">
        <v>46175</v>
      </c>
      <c r="P11" s="6">
        <f>O11+5</f>
        <v>46180</v>
      </c>
      <c r="Q11" s="7" t="s">
        <v>30</v>
      </c>
      <c r="R11" s="2" t="s">
        <v>67</v>
      </c>
      <c r="S11" s="3" t="s">
        <v>32</v>
      </c>
      <c r="T11" s="3">
        <v>228001</v>
      </c>
      <c r="U11" s="2" t="s">
        <v>37</v>
      </c>
      <c r="V11" s="3"/>
      <c r="W11" s="7">
        <v>8295226509</v>
      </c>
      <c r="X11" s="2" t="s">
        <v>24</v>
      </c>
    </row>
    <row r="12" spans="1:24" x14ac:dyDescent="0.3">
      <c r="A12" s="3" t="s">
        <v>497</v>
      </c>
      <c r="B12" s="9" t="s">
        <v>68</v>
      </c>
      <c r="C12" s="1">
        <v>12890</v>
      </c>
      <c r="D12" s="2" t="s">
        <v>69</v>
      </c>
      <c r="E12" s="3" t="s">
        <v>70</v>
      </c>
      <c r="F12" s="3" t="s">
        <v>28</v>
      </c>
      <c r="G12" s="4" t="s">
        <v>29</v>
      </c>
      <c r="H12" s="3"/>
      <c r="I12" s="3"/>
      <c r="J12" s="3"/>
      <c r="K12" s="3"/>
      <c r="L12" s="3"/>
      <c r="M12" s="3" t="s">
        <v>22</v>
      </c>
      <c r="N12" s="5">
        <v>39278</v>
      </c>
      <c r="O12" s="6">
        <v>46175</v>
      </c>
      <c r="P12" s="6">
        <f t="shared" ref="P12:P13" si="2">O12+2</f>
        <v>46177</v>
      </c>
      <c r="Q12" s="7" t="s">
        <v>30</v>
      </c>
      <c r="R12" s="2" t="s">
        <v>71</v>
      </c>
      <c r="S12" s="3" t="s">
        <v>32</v>
      </c>
      <c r="T12" s="3">
        <v>209111</v>
      </c>
      <c r="U12" s="2" t="s">
        <v>37</v>
      </c>
      <c r="V12" s="3"/>
      <c r="W12" s="7">
        <v>8931067645</v>
      </c>
      <c r="X12" s="2" t="s">
        <v>24</v>
      </c>
    </row>
    <row r="13" spans="1:24" x14ac:dyDescent="0.3">
      <c r="A13" s="3" t="s">
        <v>497</v>
      </c>
      <c r="B13" s="9" t="s">
        <v>72</v>
      </c>
      <c r="C13" s="1">
        <v>12891</v>
      </c>
      <c r="D13" s="2" t="s">
        <v>73</v>
      </c>
      <c r="E13" s="3" t="s">
        <v>74</v>
      </c>
      <c r="F13" s="3" t="s">
        <v>28</v>
      </c>
      <c r="G13" s="4" t="s">
        <v>29</v>
      </c>
      <c r="H13" s="3"/>
      <c r="I13" s="3"/>
      <c r="J13" s="3"/>
      <c r="K13" s="3"/>
      <c r="L13" s="3"/>
      <c r="M13" s="3" t="s">
        <v>22</v>
      </c>
      <c r="N13" s="5">
        <v>39102</v>
      </c>
      <c r="O13" s="6">
        <v>46175</v>
      </c>
      <c r="P13" s="6">
        <f t="shared" si="2"/>
        <v>46177</v>
      </c>
      <c r="Q13" s="7" t="s">
        <v>23</v>
      </c>
      <c r="R13" s="2" t="s">
        <v>71</v>
      </c>
      <c r="S13" s="3" t="s">
        <v>32</v>
      </c>
      <c r="T13" s="3">
        <v>209111</v>
      </c>
      <c r="U13" s="2" t="s">
        <v>37</v>
      </c>
      <c r="V13" s="3"/>
      <c r="W13" s="7">
        <v>7380679913</v>
      </c>
      <c r="X13" s="2" t="s">
        <v>24</v>
      </c>
    </row>
    <row r="14" spans="1:24" x14ac:dyDescent="0.3">
      <c r="A14" s="3" t="s">
        <v>497</v>
      </c>
      <c r="B14" s="9" t="s">
        <v>75</v>
      </c>
      <c r="C14" s="1">
        <v>12892</v>
      </c>
      <c r="D14" s="2" t="s">
        <v>76</v>
      </c>
      <c r="E14" s="3" t="s">
        <v>77</v>
      </c>
      <c r="F14" s="3" t="s">
        <v>28</v>
      </c>
      <c r="G14" s="4" t="s">
        <v>41</v>
      </c>
      <c r="H14" s="3"/>
      <c r="I14" s="3"/>
      <c r="J14" s="3"/>
      <c r="K14" s="3"/>
      <c r="L14" s="3"/>
      <c r="M14" s="3" t="s">
        <v>22</v>
      </c>
      <c r="N14" s="5">
        <v>37288</v>
      </c>
      <c r="O14" s="6">
        <v>46176</v>
      </c>
      <c r="P14" s="6">
        <f>O14+5</f>
        <v>46181</v>
      </c>
      <c r="Q14" s="7" t="s">
        <v>30</v>
      </c>
      <c r="R14" s="2" t="s">
        <v>78</v>
      </c>
      <c r="S14" s="3" t="s">
        <v>32</v>
      </c>
      <c r="T14" s="3">
        <v>210001</v>
      </c>
      <c r="U14" s="2" t="s">
        <v>37</v>
      </c>
      <c r="V14" s="3"/>
      <c r="W14" s="7">
        <v>7974064630</v>
      </c>
      <c r="X14" s="2" t="s">
        <v>24</v>
      </c>
    </row>
    <row r="15" spans="1:24" x14ac:dyDescent="0.3">
      <c r="A15" s="3" t="s">
        <v>497</v>
      </c>
      <c r="B15" s="9" t="s">
        <v>79</v>
      </c>
      <c r="C15" s="1">
        <v>12893</v>
      </c>
      <c r="D15" s="2" t="s">
        <v>80</v>
      </c>
      <c r="E15" s="3" t="s">
        <v>81</v>
      </c>
      <c r="F15" s="3" t="s">
        <v>28</v>
      </c>
      <c r="G15" s="4" t="s">
        <v>41</v>
      </c>
      <c r="H15" s="3"/>
      <c r="I15" s="3"/>
      <c r="J15" s="3"/>
      <c r="K15" s="3"/>
      <c r="L15" s="3"/>
      <c r="M15" s="3" t="s">
        <v>22</v>
      </c>
      <c r="N15" s="5">
        <v>36080</v>
      </c>
      <c r="O15" s="6">
        <v>46176</v>
      </c>
      <c r="P15" s="6">
        <f t="shared" ref="P15:P19" si="3">O15+5</f>
        <v>46181</v>
      </c>
      <c r="Q15" s="7" t="s">
        <v>30</v>
      </c>
      <c r="R15" s="2" t="s">
        <v>82</v>
      </c>
      <c r="S15" s="3" t="s">
        <v>32</v>
      </c>
      <c r="T15" s="3">
        <v>209862</v>
      </c>
      <c r="U15" s="2" t="s">
        <v>83</v>
      </c>
      <c r="V15" s="3"/>
      <c r="W15" s="7">
        <v>9235669763</v>
      </c>
      <c r="X15" s="2" t="s">
        <v>24</v>
      </c>
    </row>
    <row r="16" spans="1:24" x14ac:dyDescent="0.3">
      <c r="A16" s="3" t="s">
        <v>497</v>
      </c>
      <c r="B16" s="9" t="s">
        <v>84</v>
      </c>
      <c r="C16" s="1">
        <v>12894</v>
      </c>
      <c r="D16" s="2" t="s">
        <v>85</v>
      </c>
      <c r="E16" s="3" t="s">
        <v>86</v>
      </c>
      <c r="F16" s="3" t="s">
        <v>28</v>
      </c>
      <c r="G16" s="4" t="s">
        <v>41</v>
      </c>
      <c r="H16" s="3"/>
      <c r="I16" s="3"/>
      <c r="J16" s="3"/>
      <c r="K16" s="3"/>
      <c r="L16" s="3"/>
      <c r="M16" s="3" t="s">
        <v>22</v>
      </c>
      <c r="N16" s="5">
        <v>38718</v>
      </c>
      <c r="O16" s="6">
        <v>46176</v>
      </c>
      <c r="P16" s="6">
        <f t="shared" si="3"/>
        <v>46181</v>
      </c>
      <c r="Q16" s="7" t="s">
        <v>23</v>
      </c>
      <c r="R16" s="2" t="s">
        <v>87</v>
      </c>
      <c r="S16" s="3" t="s">
        <v>88</v>
      </c>
      <c r="T16" s="3">
        <v>811213</v>
      </c>
      <c r="U16" s="2" t="s">
        <v>37</v>
      </c>
      <c r="V16" s="3"/>
      <c r="W16" s="7">
        <v>9316198533</v>
      </c>
      <c r="X16" s="2" t="s">
        <v>24</v>
      </c>
    </row>
    <row r="17" spans="1:24" x14ac:dyDescent="0.3">
      <c r="A17" s="3" t="s">
        <v>497</v>
      </c>
      <c r="B17" s="9" t="s">
        <v>89</v>
      </c>
      <c r="C17" s="1">
        <v>12895</v>
      </c>
      <c r="D17" s="2" t="s">
        <v>90</v>
      </c>
      <c r="E17" s="3" t="s">
        <v>91</v>
      </c>
      <c r="F17" s="3" t="s">
        <v>28</v>
      </c>
      <c r="G17" s="4" t="s">
        <v>41</v>
      </c>
      <c r="H17" s="3"/>
      <c r="I17" s="3"/>
      <c r="J17" s="3"/>
      <c r="K17" s="3"/>
      <c r="L17" s="3"/>
      <c r="M17" s="3" t="s">
        <v>22</v>
      </c>
      <c r="N17" s="5">
        <v>38536</v>
      </c>
      <c r="O17" s="6">
        <v>46176</v>
      </c>
      <c r="P17" s="6">
        <f t="shared" si="3"/>
        <v>46181</v>
      </c>
      <c r="Q17" s="7" t="s">
        <v>30</v>
      </c>
      <c r="R17" s="2" t="s">
        <v>92</v>
      </c>
      <c r="S17" s="3" t="s">
        <v>32</v>
      </c>
      <c r="T17" s="3">
        <v>230403</v>
      </c>
      <c r="U17" s="2" t="s">
        <v>33</v>
      </c>
      <c r="V17" s="3"/>
      <c r="W17" s="7">
        <v>9278262985</v>
      </c>
      <c r="X17" s="2" t="s">
        <v>24</v>
      </c>
    </row>
    <row r="18" spans="1:24" x14ac:dyDescent="0.3">
      <c r="A18" s="3" t="s">
        <v>497</v>
      </c>
      <c r="B18" s="9" t="s">
        <v>93</v>
      </c>
      <c r="C18" s="1">
        <v>12896</v>
      </c>
      <c r="D18" s="2" t="s">
        <v>94</v>
      </c>
      <c r="E18" s="3" t="s">
        <v>95</v>
      </c>
      <c r="F18" s="3" t="s">
        <v>28</v>
      </c>
      <c r="G18" s="4" t="s">
        <v>41</v>
      </c>
      <c r="H18" s="3"/>
      <c r="I18" s="3"/>
      <c r="J18" s="3"/>
      <c r="K18" s="3"/>
      <c r="L18" s="3"/>
      <c r="M18" s="3" t="s">
        <v>22</v>
      </c>
      <c r="N18" s="5">
        <v>38719</v>
      </c>
      <c r="O18" s="6">
        <v>46176</v>
      </c>
      <c r="P18" s="6">
        <f t="shared" si="3"/>
        <v>46181</v>
      </c>
      <c r="Q18" s="7" t="s">
        <v>30</v>
      </c>
      <c r="R18" s="2" t="s">
        <v>96</v>
      </c>
      <c r="S18" s="3" t="s">
        <v>32</v>
      </c>
      <c r="T18" s="3">
        <v>272271</v>
      </c>
      <c r="U18" s="2" t="s">
        <v>33</v>
      </c>
      <c r="V18" s="3"/>
      <c r="W18" s="7">
        <v>9335326113</v>
      </c>
      <c r="X18" s="2" t="s">
        <v>24</v>
      </c>
    </row>
    <row r="19" spans="1:24" x14ac:dyDescent="0.3">
      <c r="A19" s="3" t="s">
        <v>497</v>
      </c>
      <c r="B19" s="9" t="s">
        <v>97</v>
      </c>
      <c r="C19" s="1">
        <v>12897</v>
      </c>
      <c r="D19" s="2" t="s">
        <v>98</v>
      </c>
      <c r="E19" s="3" t="s">
        <v>99</v>
      </c>
      <c r="F19" s="3" t="s">
        <v>28</v>
      </c>
      <c r="G19" s="4" t="s">
        <v>41</v>
      </c>
      <c r="H19" s="3"/>
      <c r="I19" s="3"/>
      <c r="J19" s="3"/>
      <c r="K19" s="3"/>
      <c r="L19" s="3"/>
      <c r="M19" s="3" t="s">
        <v>22</v>
      </c>
      <c r="N19" s="5">
        <v>38484</v>
      </c>
      <c r="O19" s="6">
        <v>46176</v>
      </c>
      <c r="P19" s="6">
        <f t="shared" si="3"/>
        <v>46181</v>
      </c>
      <c r="Q19" s="7" t="s">
        <v>30</v>
      </c>
      <c r="R19" s="2" t="s">
        <v>100</v>
      </c>
      <c r="S19" s="2" t="s">
        <v>101</v>
      </c>
      <c r="T19" s="3">
        <v>822119</v>
      </c>
      <c r="U19" s="2" t="s">
        <v>37</v>
      </c>
      <c r="V19" s="3"/>
      <c r="W19" s="7">
        <v>6201200713</v>
      </c>
      <c r="X19" s="2" t="s">
        <v>24</v>
      </c>
    </row>
    <row r="20" spans="1:24" x14ac:dyDescent="0.3">
      <c r="A20" s="3" t="s">
        <v>497</v>
      </c>
      <c r="B20" s="9" t="s">
        <v>102</v>
      </c>
      <c r="C20" s="1">
        <v>12898</v>
      </c>
      <c r="D20" s="2" t="s">
        <v>85</v>
      </c>
      <c r="E20" s="3" t="s">
        <v>103</v>
      </c>
      <c r="F20" s="3" t="s">
        <v>28</v>
      </c>
      <c r="G20" s="4" t="s">
        <v>41</v>
      </c>
      <c r="H20" s="3"/>
      <c r="I20" s="3"/>
      <c r="J20" s="3"/>
      <c r="K20" s="3"/>
      <c r="L20" s="3"/>
      <c r="M20" s="3" t="s">
        <v>22</v>
      </c>
      <c r="N20" s="5">
        <v>38413</v>
      </c>
      <c r="O20" s="6">
        <v>46177</v>
      </c>
      <c r="P20" s="6">
        <f>O20+5</f>
        <v>46182</v>
      </c>
      <c r="Q20" s="7" t="s">
        <v>104</v>
      </c>
      <c r="R20" s="2" t="s">
        <v>105</v>
      </c>
      <c r="S20" s="3" t="s">
        <v>32</v>
      </c>
      <c r="T20" s="3">
        <v>229801</v>
      </c>
      <c r="U20" s="2" t="s">
        <v>33</v>
      </c>
      <c r="V20" s="3"/>
      <c r="W20" s="7">
        <v>7082758661</v>
      </c>
      <c r="X20" s="2" t="s">
        <v>24</v>
      </c>
    </row>
    <row r="21" spans="1:24" x14ac:dyDescent="0.3">
      <c r="A21" s="3" t="s">
        <v>497</v>
      </c>
      <c r="B21" s="9" t="s">
        <v>106</v>
      </c>
      <c r="C21" s="1">
        <v>12899</v>
      </c>
      <c r="D21" s="2" t="s">
        <v>107</v>
      </c>
      <c r="E21" s="3" t="s">
        <v>108</v>
      </c>
      <c r="F21" s="3" t="s">
        <v>28</v>
      </c>
      <c r="G21" s="4" t="s">
        <v>41</v>
      </c>
      <c r="H21" s="3"/>
      <c r="I21" s="3"/>
      <c r="J21" s="3"/>
      <c r="K21" s="3"/>
      <c r="L21" s="3"/>
      <c r="M21" s="3" t="s">
        <v>22</v>
      </c>
      <c r="N21" s="5">
        <v>38447</v>
      </c>
      <c r="O21" s="6">
        <v>46177</v>
      </c>
      <c r="P21" s="6">
        <f t="shared" ref="P21:P24" si="4">O21+5</f>
        <v>46182</v>
      </c>
      <c r="Q21" s="7" t="s">
        <v>109</v>
      </c>
      <c r="R21" s="2" t="s">
        <v>110</v>
      </c>
      <c r="S21" s="3" t="s">
        <v>32</v>
      </c>
      <c r="T21" s="3">
        <v>276129</v>
      </c>
      <c r="U21" s="2" t="s">
        <v>111</v>
      </c>
      <c r="V21" s="3"/>
      <c r="W21" s="7">
        <v>7988599561</v>
      </c>
      <c r="X21" s="2" t="s">
        <v>24</v>
      </c>
    </row>
    <row r="22" spans="1:24" x14ac:dyDescent="0.3">
      <c r="A22" s="3" t="s">
        <v>497</v>
      </c>
      <c r="B22" s="9" t="s">
        <v>112</v>
      </c>
      <c r="C22" s="1">
        <v>12900</v>
      </c>
      <c r="D22" s="2" t="s">
        <v>113</v>
      </c>
      <c r="E22" s="3" t="s">
        <v>114</v>
      </c>
      <c r="F22" s="3" t="s">
        <v>28</v>
      </c>
      <c r="G22" s="4" t="s">
        <v>41</v>
      </c>
      <c r="H22" s="3"/>
      <c r="I22" s="3"/>
      <c r="J22" s="3"/>
      <c r="K22" s="3"/>
      <c r="L22" s="3"/>
      <c r="M22" s="3" t="s">
        <v>22</v>
      </c>
      <c r="N22" s="5">
        <v>38899</v>
      </c>
      <c r="O22" s="6">
        <v>46177</v>
      </c>
      <c r="P22" s="6">
        <f t="shared" si="4"/>
        <v>46182</v>
      </c>
      <c r="Q22" s="7" t="s">
        <v>109</v>
      </c>
      <c r="R22" s="2" t="s">
        <v>53</v>
      </c>
      <c r="S22" s="3" t="s">
        <v>32</v>
      </c>
      <c r="T22" s="3">
        <v>229302</v>
      </c>
      <c r="U22" s="2" t="s">
        <v>37</v>
      </c>
      <c r="V22" s="3"/>
      <c r="W22" s="7">
        <v>9056361074</v>
      </c>
      <c r="X22" s="2" t="s">
        <v>24</v>
      </c>
    </row>
    <row r="23" spans="1:24" x14ac:dyDescent="0.3">
      <c r="A23" s="3" t="s">
        <v>497</v>
      </c>
      <c r="B23" s="9" t="s">
        <v>115</v>
      </c>
      <c r="C23" s="1">
        <v>12901</v>
      </c>
      <c r="D23" s="2" t="s">
        <v>116</v>
      </c>
      <c r="E23" s="3" t="s">
        <v>117</v>
      </c>
      <c r="F23" s="3" t="s">
        <v>28</v>
      </c>
      <c r="G23" s="4" t="s">
        <v>41</v>
      </c>
      <c r="H23" s="3"/>
      <c r="I23" s="3"/>
      <c r="J23" s="3"/>
      <c r="K23" s="3"/>
      <c r="L23" s="3"/>
      <c r="M23" s="3" t="s">
        <v>22</v>
      </c>
      <c r="N23" s="5">
        <v>39143</v>
      </c>
      <c r="O23" s="6">
        <v>46177</v>
      </c>
      <c r="P23" s="6">
        <f t="shared" si="4"/>
        <v>46182</v>
      </c>
      <c r="Q23" s="7" t="s">
        <v>109</v>
      </c>
      <c r="R23" s="2" t="s">
        <v>118</v>
      </c>
      <c r="S23" s="3" t="s">
        <v>32</v>
      </c>
      <c r="T23" s="3">
        <v>274203</v>
      </c>
      <c r="U23" s="2" t="s">
        <v>33</v>
      </c>
      <c r="V23" s="3"/>
      <c r="W23" s="7">
        <v>7234912536</v>
      </c>
      <c r="X23" s="2" t="s">
        <v>24</v>
      </c>
    </row>
    <row r="24" spans="1:24" x14ac:dyDescent="0.3">
      <c r="A24" s="3" t="s">
        <v>497</v>
      </c>
      <c r="B24" s="9" t="s">
        <v>119</v>
      </c>
      <c r="C24" s="1">
        <v>12902</v>
      </c>
      <c r="D24" s="2" t="s">
        <v>120</v>
      </c>
      <c r="E24" s="3" t="s">
        <v>121</v>
      </c>
      <c r="F24" s="3" t="s">
        <v>28</v>
      </c>
      <c r="G24" s="4" t="s">
        <v>41</v>
      </c>
      <c r="H24" s="3"/>
      <c r="I24" s="3"/>
      <c r="J24" s="3"/>
      <c r="K24" s="3"/>
      <c r="L24" s="3"/>
      <c r="M24" s="3" t="s">
        <v>22</v>
      </c>
      <c r="N24" s="5">
        <v>38873</v>
      </c>
      <c r="O24" s="6">
        <v>46177</v>
      </c>
      <c r="P24" s="6">
        <f t="shared" si="4"/>
        <v>46182</v>
      </c>
      <c r="Q24" s="7" t="s">
        <v>109</v>
      </c>
      <c r="R24" s="2" t="s">
        <v>53</v>
      </c>
      <c r="S24" s="3" t="s">
        <v>32</v>
      </c>
      <c r="T24" s="3">
        <v>229401</v>
      </c>
      <c r="U24" s="2" t="s">
        <v>37</v>
      </c>
      <c r="V24" s="3"/>
      <c r="W24" s="7">
        <v>7398831672</v>
      </c>
      <c r="X24" s="2" t="s">
        <v>24</v>
      </c>
    </row>
    <row r="25" spans="1:24" x14ac:dyDescent="0.3">
      <c r="A25" s="3" t="s">
        <v>500</v>
      </c>
      <c r="B25" s="9" t="s">
        <v>122</v>
      </c>
      <c r="C25" s="1">
        <v>71462</v>
      </c>
      <c r="D25" s="2" t="s">
        <v>123</v>
      </c>
      <c r="E25" s="3" t="s">
        <v>124</v>
      </c>
      <c r="F25" s="3" t="s">
        <v>28</v>
      </c>
      <c r="G25" s="4" t="s">
        <v>41</v>
      </c>
      <c r="H25" s="3"/>
      <c r="I25" s="3"/>
      <c r="J25" s="3"/>
      <c r="K25" s="3"/>
      <c r="L25" s="3"/>
      <c r="M25" s="3" t="s">
        <v>22</v>
      </c>
      <c r="N25" s="5">
        <v>36258</v>
      </c>
      <c r="O25" s="6">
        <v>46175</v>
      </c>
      <c r="P25" s="6">
        <f>O25+5</f>
        <v>46180</v>
      </c>
      <c r="Q25" s="7" t="s">
        <v>125</v>
      </c>
      <c r="R25" s="2" t="s">
        <v>126</v>
      </c>
      <c r="S25" s="3" t="s">
        <v>32</v>
      </c>
      <c r="T25" s="3">
        <v>284201</v>
      </c>
      <c r="U25" s="2" t="s">
        <v>33</v>
      </c>
      <c r="V25" s="3"/>
      <c r="W25" s="7">
        <v>8417809881</v>
      </c>
      <c r="X25" s="2" t="s">
        <v>24</v>
      </c>
    </row>
    <row r="26" spans="1:24" x14ac:dyDescent="0.3">
      <c r="A26" s="3" t="s">
        <v>500</v>
      </c>
      <c r="B26" s="9" t="s">
        <v>127</v>
      </c>
      <c r="C26" s="1">
        <v>71463</v>
      </c>
      <c r="D26" s="2" t="s">
        <v>128</v>
      </c>
      <c r="E26" s="3" t="s">
        <v>129</v>
      </c>
      <c r="F26" s="3" t="s">
        <v>28</v>
      </c>
      <c r="G26" s="4" t="s">
        <v>41</v>
      </c>
      <c r="H26" s="3"/>
      <c r="I26" s="3"/>
      <c r="J26" s="3"/>
      <c r="K26" s="3"/>
      <c r="L26" s="3"/>
      <c r="M26" s="3" t="s">
        <v>22</v>
      </c>
      <c r="N26" s="5">
        <v>35836</v>
      </c>
      <c r="O26" s="6">
        <v>46176</v>
      </c>
      <c r="P26" s="6">
        <f>O26+5</f>
        <v>46181</v>
      </c>
      <c r="Q26" s="7" t="s">
        <v>30</v>
      </c>
      <c r="R26" s="2" t="s">
        <v>130</v>
      </c>
      <c r="S26" s="3" t="s">
        <v>88</v>
      </c>
      <c r="T26" s="3">
        <v>824211</v>
      </c>
      <c r="U26" s="2" t="s">
        <v>33</v>
      </c>
      <c r="V26" s="3"/>
      <c r="W26" s="7">
        <v>9523555605</v>
      </c>
      <c r="X26" s="2" t="s">
        <v>24</v>
      </c>
    </row>
    <row r="27" spans="1:24" x14ac:dyDescent="0.3">
      <c r="A27" s="3" t="s">
        <v>500</v>
      </c>
      <c r="B27" s="9" t="s">
        <v>131</v>
      </c>
      <c r="C27" s="1">
        <v>71464</v>
      </c>
      <c r="D27" s="2" t="s">
        <v>132</v>
      </c>
      <c r="E27" s="3" t="s">
        <v>133</v>
      </c>
      <c r="F27" s="3" t="s">
        <v>28</v>
      </c>
      <c r="G27" s="4" t="s">
        <v>134</v>
      </c>
      <c r="H27" s="3" t="s">
        <v>135</v>
      </c>
      <c r="I27" s="3"/>
      <c r="J27" s="3"/>
      <c r="K27" s="3"/>
      <c r="L27" s="3"/>
      <c r="M27" s="3" t="s">
        <v>22</v>
      </c>
      <c r="N27" s="5">
        <v>39049</v>
      </c>
      <c r="O27" s="6">
        <v>46176</v>
      </c>
      <c r="P27" s="6">
        <f>O27+2</f>
        <v>46178</v>
      </c>
      <c r="Q27" s="7" t="s">
        <v>125</v>
      </c>
      <c r="R27" s="2" t="s">
        <v>71</v>
      </c>
      <c r="S27" s="3" t="s">
        <v>32</v>
      </c>
      <c r="T27" s="3">
        <v>209302</v>
      </c>
      <c r="U27" s="2" t="s">
        <v>37</v>
      </c>
      <c r="V27" s="3"/>
      <c r="W27" s="7">
        <v>9214067572</v>
      </c>
      <c r="X27" s="2" t="s">
        <v>24</v>
      </c>
    </row>
    <row r="28" spans="1:24" x14ac:dyDescent="0.3">
      <c r="A28" s="3" t="s">
        <v>500</v>
      </c>
      <c r="B28" s="9" t="s">
        <v>136</v>
      </c>
      <c r="C28" s="1">
        <v>71465</v>
      </c>
      <c r="D28" s="2" t="s">
        <v>137</v>
      </c>
      <c r="E28" s="3" t="s">
        <v>138</v>
      </c>
      <c r="F28" s="3" t="s">
        <v>28</v>
      </c>
      <c r="G28" s="4" t="s">
        <v>63</v>
      </c>
      <c r="H28" s="3"/>
      <c r="I28" s="3"/>
      <c r="J28" s="3"/>
      <c r="K28" s="3"/>
      <c r="L28" s="3"/>
      <c r="M28" s="3" t="s">
        <v>22</v>
      </c>
      <c r="N28" s="5">
        <v>37987</v>
      </c>
      <c r="O28" s="6">
        <v>46176</v>
      </c>
      <c r="P28" s="6">
        <f>O28+2</f>
        <v>46178</v>
      </c>
      <c r="Q28" s="7" t="s">
        <v>125</v>
      </c>
      <c r="R28" s="2" t="s">
        <v>139</v>
      </c>
      <c r="S28" s="3" t="s">
        <v>32</v>
      </c>
      <c r="T28" s="3">
        <v>272170</v>
      </c>
      <c r="U28" s="2" t="s">
        <v>33</v>
      </c>
      <c r="V28" s="3"/>
      <c r="W28" s="7">
        <v>9208752170</v>
      </c>
      <c r="X28" s="2" t="s">
        <v>24</v>
      </c>
    </row>
    <row r="29" spans="1:24" x14ac:dyDescent="0.3">
      <c r="A29" s="3" t="s">
        <v>500</v>
      </c>
      <c r="B29" s="9" t="s">
        <v>140</v>
      </c>
      <c r="C29" s="1">
        <v>71466</v>
      </c>
      <c r="D29" s="2" t="s">
        <v>141</v>
      </c>
      <c r="E29" s="3" t="s">
        <v>142</v>
      </c>
      <c r="F29" s="3" t="s">
        <v>28</v>
      </c>
      <c r="G29" s="4" t="s">
        <v>41</v>
      </c>
      <c r="H29" s="3"/>
      <c r="I29" s="3"/>
      <c r="J29" s="3"/>
      <c r="K29" s="3"/>
      <c r="L29" s="3"/>
      <c r="M29" s="3" t="s">
        <v>22</v>
      </c>
      <c r="N29" s="5">
        <v>39161</v>
      </c>
      <c r="O29" s="6">
        <v>46176</v>
      </c>
      <c r="P29" s="6">
        <f>O29+5</f>
        <v>46181</v>
      </c>
      <c r="Q29" s="7" t="s">
        <v>30</v>
      </c>
      <c r="R29" s="2" t="s">
        <v>143</v>
      </c>
      <c r="S29" s="3" t="s">
        <v>32</v>
      </c>
      <c r="T29" s="3">
        <v>210424</v>
      </c>
      <c r="U29" s="2" t="s">
        <v>83</v>
      </c>
      <c r="V29" s="3"/>
      <c r="W29" s="7">
        <v>8960986029</v>
      </c>
      <c r="X29" s="2" t="s">
        <v>24</v>
      </c>
    </row>
    <row r="30" spans="1:24" x14ac:dyDescent="0.3">
      <c r="A30" s="3" t="s">
        <v>500</v>
      </c>
      <c r="B30" s="9" t="s">
        <v>144</v>
      </c>
      <c r="C30" s="1">
        <v>71467</v>
      </c>
      <c r="D30" s="2" t="s">
        <v>145</v>
      </c>
      <c r="E30" s="3" t="s">
        <v>146</v>
      </c>
      <c r="F30" s="3" t="s">
        <v>28</v>
      </c>
      <c r="G30" s="4" t="s">
        <v>29</v>
      </c>
      <c r="H30" s="3"/>
      <c r="I30" s="3"/>
      <c r="J30" s="3"/>
      <c r="K30" s="3"/>
      <c r="L30" s="3"/>
      <c r="M30" s="3" t="s">
        <v>22</v>
      </c>
      <c r="N30" s="5">
        <v>38513</v>
      </c>
      <c r="O30" s="6">
        <v>46176</v>
      </c>
      <c r="P30" s="6">
        <f>O30+2</f>
        <v>46178</v>
      </c>
      <c r="Q30" s="7" t="s">
        <v>30</v>
      </c>
      <c r="R30" s="2" t="s">
        <v>147</v>
      </c>
      <c r="S30" s="3" t="s">
        <v>32</v>
      </c>
      <c r="T30" s="3">
        <v>228411</v>
      </c>
      <c r="U30" s="2" t="s">
        <v>37</v>
      </c>
      <c r="V30" s="3"/>
      <c r="W30" s="7">
        <v>9151299748</v>
      </c>
      <c r="X30" s="2" t="s">
        <v>24</v>
      </c>
    </row>
    <row r="31" spans="1:24" x14ac:dyDescent="0.3">
      <c r="A31" s="3" t="s">
        <v>500</v>
      </c>
      <c r="B31" s="9" t="s">
        <v>148</v>
      </c>
      <c r="C31" s="1">
        <v>71468</v>
      </c>
      <c r="D31" s="2" t="s">
        <v>149</v>
      </c>
      <c r="E31" s="3" t="s">
        <v>150</v>
      </c>
      <c r="F31" s="3" t="s">
        <v>28</v>
      </c>
      <c r="G31" s="4" t="s">
        <v>41</v>
      </c>
      <c r="H31" s="3"/>
      <c r="I31" s="3"/>
      <c r="J31" s="3"/>
      <c r="K31" s="3"/>
      <c r="L31" s="3"/>
      <c r="M31" s="3" t="s">
        <v>22</v>
      </c>
      <c r="N31" s="5">
        <v>38354</v>
      </c>
      <c r="O31" s="6">
        <v>46177</v>
      </c>
      <c r="P31" s="6">
        <f t="shared" ref="P31:P34" si="5">O31+5</f>
        <v>46182</v>
      </c>
      <c r="Q31" s="7" t="s">
        <v>104</v>
      </c>
      <c r="R31" s="2" t="s">
        <v>126</v>
      </c>
      <c r="S31" s="3" t="s">
        <v>32</v>
      </c>
      <c r="T31" s="3">
        <v>284204</v>
      </c>
      <c r="U31" s="2" t="s">
        <v>33</v>
      </c>
      <c r="V31" s="3"/>
      <c r="W31" s="7">
        <v>8299918850</v>
      </c>
      <c r="X31" s="2" t="s">
        <v>24</v>
      </c>
    </row>
    <row r="32" spans="1:24" x14ac:dyDescent="0.3">
      <c r="A32" s="3" t="s">
        <v>500</v>
      </c>
      <c r="B32" s="9" t="s">
        <v>151</v>
      </c>
      <c r="C32" s="1">
        <v>71469</v>
      </c>
      <c r="D32" s="2" t="s">
        <v>152</v>
      </c>
      <c r="E32" s="3" t="s">
        <v>153</v>
      </c>
      <c r="F32" s="3" t="s">
        <v>28</v>
      </c>
      <c r="G32" s="4" t="s">
        <v>41</v>
      </c>
      <c r="H32" s="3"/>
      <c r="I32" s="3"/>
      <c r="J32" s="3"/>
      <c r="K32" s="3"/>
      <c r="L32" s="3"/>
      <c r="M32" s="3" t="s">
        <v>22</v>
      </c>
      <c r="N32" s="5">
        <v>38975</v>
      </c>
      <c r="O32" s="6">
        <v>46177</v>
      </c>
      <c r="P32" s="6">
        <f t="shared" si="5"/>
        <v>46182</v>
      </c>
      <c r="Q32" s="7" t="s">
        <v>109</v>
      </c>
      <c r="R32" s="2" t="s">
        <v>147</v>
      </c>
      <c r="S32" s="3" t="s">
        <v>32</v>
      </c>
      <c r="T32" s="3">
        <v>212402</v>
      </c>
      <c r="U32" s="2" t="s">
        <v>33</v>
      </c>
      <c r="V32" s="3"/>
      <c r="W32" s="7">
        <v>7521962497</v>
      </c>
      <c r="X32" s="2" t="s">
        <v>24</v>
      </c>
    </row>
    <row r="33" spans="1:24" x14ac:dyDescent="0.3">
      <c r="A33" s="3" t="s">
        <v>500</v>
      </c>
      <c r="B33" s="9" t="s">
        <v>154</v>
      </c>
      <c r="C33" s="1">
        <v>71470</v>
      </c>
      <c r="D33" s="2" t="s">
        <v>155</v>
      </c>
      <c r="E33" s="3" t="s">
        <v>156</v>
      </c>
      <c r="F33" s="3" t="s">
        <v>28</v>
      </c>
      <c r="G33" s="4" t="s">
        <v>41</v>
      </c>
      <c r="H33" s="3"/>
      <c r="I33" s="3"/>
      <c r="J33" s="3"/>
      <c r="K33" s="3"/>
      <c r="L33" s="3"/>
      <c r="M33" s="3" t="s">
        <v>22</v>
      </c>
      <c r="N33" s="5">
        <v>37960</v>
      </c>
      <c r="O33" s="6">
        <v>46177</v>
      </c>
      <c r="P33" s="6">
        <f t="shared" si="5"/>
        <v>46182</v>
      </c>
      <c r="Q33" s="7" t="s">
        <v>109</v>
      </c>
      <c r="R33" s="2" t="s">
        <v>157</v>
      </c>
      <c r="S33" s="3" t="s">
        <v>32</v>
      </c>
      <c r="T33" s="3">
        <v>225413</v>
      </c>
      <c r="U33" s="2" t="s">
        <v>33</v>
      </c>
      <c r="V33" s="3"/>
      <c r="W33" s="7">
        <v>9250246359</v>
      </c>
      <c r="X33" s="2" t="s">
        <v>24</v>
      </c>
    </row>
    <row r="34" spans="1:24" x14ac:dyDescent="0.3">
      <c r="A34" s="3" t="s">
        <v>500</v>
      </c>
      <c r="B34" s="9" t="s">
        <v>158</v>
      </c>
      <c r="C34" s="1">
        <v>71471</v>
      </c>
      <c r="D34" s="2" t="s">
        <v>159</v>
      </c>
      <c r="E34" s="3" t="s">
        <v>160</v>
      </c>
      <c r="F34" s="3" t="s">
        <v>28</v>
      </c>
      <c r="G34" s="4" t="s">
        <v>41</v>
      </c>
      <c r="H34" s="3"/>
      <c r="I34" s="3"/>
      <c r="J34" s="3"/>
      <c r="K34" s="3"/>
      <c r="L34" s="3"/>
      <c r="M34" s="3" t="s">
        <v>22</v>
      </c>
      <c r="N34" s="5">
        <v>38508</v>
      </c>
      <c r="O34" s="6">
        <v>46177</v>
      </c>
      <c r="P34" s="6">
        <f t="shared" si="5"/>
        <v>46182</v>
      </c>
      <c r="Q34" s="7" t="s">
        <v>109</v>
      </c>
      <c r="R34" s="2" t="s">
        <v>161</v>
      </c>
      <c r="S34" s="3" t="s">
        <v>32</v>
      </c>
      <c r="T34" s="3">
        <v>273163</v>
      </c>
      <c r="U34" s="2" t="s">
        <v>33</v>
      </c>
      <c r="V34" s="3"/>
      <c r="W34" s="7">
        <v>9956722025</v>
      </c>
      <c r="X34" s="2" t="s">
        <v>24</v>
      </c>
    </row>
    <row r="35" spans="1:24" x14ac:dyDescent="0.3">
      <c r="A35" s="3" t="s">
        <v>500</v>
      </c>
      <c r="B35" s="9" t="s">
        <v>162</v>
      </c>
      <c r="C35" s="1">
        <v>71472</v>
      </c>
      <c r="D35" s="2" t="s">
        <v>163</v>
      </c>
      <c r="E35" s="3" t="s">
        <v>164</v>
      </c>
      <c r="F35" s="3" t="s">
        <v>28</v>
      </c>
      <c r="G35" s="4" t="s">
        <v>29</v>
      </c>
      <c r="H35" s="3"/>
      <c r="I35" s="3"/>
      <c r="J35" s="3"/>
      <c r="K35" s="3"/>
      <c r="L35" s="3"/>
      <c r="M35" s="3" t="s">
        <v>22</v>
      </c>
      <c r="N35" s="5">
        <v>37622</v>
      </c>
      <c r="O35" s="6">
        <v>46177</v>
      </c>
      <c r="P35" s="6">
        <f>O35+3</f>
        <v>46180</v>
      </c>
      <c r="Q35" s="7" t="s">
        <v>109</v>
      </c>
      <c r="R35" s="2" t="s">
        <v>161</v>
      </c>
      <c r="S35" s="3" t="s">
        <v>32</v>
      </c>
      <c r="T35" s="3">
        <v>273151</v>
      </c>
      <c r="U35" s="2" t="s">
        <v>33</v>
      </c>
      <c r="V35" s="3"/>
      <c r="W35" s="7">
        <v>7992019112</v>
      </c>
      <c r="X35" s="2" t="s">
        <v>24</v>
      </c>
    </row>
    <row r="36" spans="1:24" x14ac:dyDescent="0.3">
      <c r="A36" s="3" t="s">
        <v>500</v>
      </c>
      <c r="B36" s="9" t="s">
        <v>165</v>
      </c>
      <c r="C36" s="1">
        <v>71473</v>
      </c>
      <c r="D36" s="2" t="s">
        <v>166</v>
      </c>
      <c r="E36" s="3" t="s">
        <v>153</v>
      </c>
      <c r="F36" s="3" t="s">
        <v>28</v>
      </c>
      <c r="G36" s="4" t="s">
        <v>29</v>
      </c>
      <c r="H36" s="3"/>
      <c r="I36" s="3"/>
      <c r="J36" s="3"/>
      <c r="K36" s="3"/>
      <c r="L36" s="3"/>
      <c r="M36" s="3" t="s">
        <v>22</v>
      </c>
      <c r="N36" s="5">
        <v>38718</v>
      </c>
      <c r="O36" s="6">
        <v>46177</v>
      </c>
      <c r="P36" s="6">
        <f>O36+3</f>
        <v>46180</v>
      </c>
      <c r="Q36" s="7" t="s">
        <v>109</v>
      </c>
      <c r="R36" s="2" t="s">
        <v>161</v>
      </c>
      <c r="S36" s="3" t="s">
        <v>32</v>
      </c>
      <c r="T36" s="3">
        <v>273163</v>
      </c>
      <c r="U36" s="2" t="s">
        <v>33</v>
      </c>
      <c r="V36" s="3"/>
      <c r="W36" s="7">
        <v>9278462833</v>
      </c>
      <c r="X36" s="2" t="s">
        <v>24</v>
      </c>
    </row>
    <row r="37" spans="1:24" x14ac:dyDescent="0.3">
      <c r="A37" s="3" t="s">
        <v>500</v>
      </c>
      <c r="B37" s="9" t="s">
        <v>167</v>
      </c>
      <c r="C37" s="1">
        <v>71474</v>
      </c>
      <c r="D37" s="2" t="s">
        <v>168</v>
      </c>
      <c r="E37" s="3" t="s">
        <v>169</v>
      </c>
      <c r="F37" s="3" t="s">
        <v>28</v>
      </c>
      <c r="G37" s="4" t="s">
        <v>41</v>
      </c>
      <c r="H37" s="3"/>
      <c r="I37" s="3"/>
      <c r="J37" s="3"/>
      <c r="K37" s="3"/>
      <c r="L37" s="3"/>
      <c r="M37" s="3" t="s">
        <v>22</v>
      </c>
      <c r="N37" s="5">
        <v>39083</v>
      </c>
      <c r="O37" s="6">
        <v>46177</v>
      </c>
      <c r="P37" s="6">
        <f>O37+5</f>
        <v>46182</v>
      </c>
      <c r="Q37" s="7" t="s">
        <v>109</v>
      </c>
      <c r="R37" s="2" t="s">
        <v>161</v>
      </c>
      <c r="S37" s="3" t="s">
        <v>32</v>
      </c>
      <c r="T37" s="3">
        <v>273163</v>
      </c>
      <c r="U37" s="2" t="s">
        <v>33</v>
      </c>
      <c r="V37" s="3"/>
      <c r="W37" s="7">
        <v>8543957155</v>
      </c>
      <c r="X37" s="2" t="s">
        <v>24</v>
      </c>
    </row>
    <row r="38" spans="1:24" x14ac:dyDescent="0.3">
      <c r="A38" s="3" t="s">
        <v>500</v>
      </c>
      <c r="B38" s="9" t="s">
        <v>170</v>
      </c>
      <c r="C38" s="1">
        <v>71475</v>
      </c>
      <c r="D38" s="2" t="s">
        <v>171</v>
      </c>
      <c r="E38" s="3" t="s">
        <v>172</v>
      </c>
      <c r="F38" s="3" t="s">
        <v>28</v>
      </c>
      <c r="G38" s="4" t="s">
        <v>29</v>
      </c>
      <c r="H38" s="3"/>
      <c r="I38" s="3"/>
      <c r="J38" s="3"/>
      <c r="K38" s="3"/>
      <c r="L38" s="3"/>
      <c r="M38" s="3" t="s">
        <v>22</v>
      </c>
      <c r="N38" s="5">
        <v>36587</v>
      </c>
      <c r="O38" s="6">
        <v>46177</v>
      </c>
      <c r="P38" s="6">
        <f>O38+3</f>
        <v>46180</v>
      </c>
      <c r="Q38" s="7" t="s">
        <v>109</v>
      </c>
      <c r="R38" s="2" t="s">
        <v>147</v>
      </c>
      <c r="S38" s="3" t="s">
        <v>32</v>
      </c>
      <c r="T38" s="3">
        <v>212106</v>
      </c>
      <c r="U38" s="2" t="s">
        <v>33</v>
      </c>
      <c r="V38" s="3"/>
      <c r="W38" s="7">
        <v>7388519759</v>
      </c>
      <c r="X38" s="2" t="s">
        <v>24</v>
      </c>
    </row>
    <row r="39" spans="1:24" x14ac:dyDescent="0.3">
      <c r="A39" s="3" t="s">
        <v>500</v>
      </c>
      <c r="B39" s="9" t="s">
        <v>173</v>
      </c>
      <c r="C39" s="1">
        <v>71476</v>
      </c>
      <c r="D39" s="2" t="s">
        <v>174</v>
      </c>
      <c r="E39" s="3" t="s">
        <v>175</v>
      </c>
      <c r="F39" s="3" t="s">
        <v>28</v>
      </c>
      <c r="G39" s="4" t="s">
        <v>41</v>
      </c>
      <c r="H39" s="3"/>
      <c r="I39" s="3"/>
      <c r="J39" s="3"/>
      <c r="K39" s="3"/>
      <c r="L39" s="3"/>
      <c r="M39" s="3" t="s">
        <v>22</v>
      </c>
      <c r="N39" s="5">
        <v>36999</v>
      </c>
      <c r="O39" s="6">
        <v>46177</v>
      </c>
      <c r="P39" s="6">
        <f t="shared" ref="P39:P41" si="6">O39+5</f>
        <v>46182</v>
      </c>
      <c r="Q39" s="7" t="s">
        <v>104</v>
      </c>
      <c r="R39" s="2" t="s">
        <v>176</v>
      </c>
      <c r="S39" s="3" t="s">
        <v>32</v>
      </c>
      <c r="T39" s="3">
        <v>212201</v>
      </c>
      <c r="U39" s="2" t="s">
        <v>33</v>
      </c>
      <c r="V39" s="3"/>
      <c r="W39" s="7">
        <v>6393871168</v>
      </c>
      <c r="X39" s="2" t="s">
        <v>24</v>
      </c>
    </row>
    <row r="40" spans="1:24" x14ac:dyDescent="0.3">
      <c r="A40" s="3" t="s">
        <v>500</v>
      </c>
      <c r="B40" s="9" t="s">
        <v>177</v>
      </c>
      <c r="C40" s="1">
        <v>71477</v>
      </c>
      <c r="D40" s="2" t="s">
        <v>178</v>
      </c>
      <c r="E40" s="3" t="s">
        <v>179</v>
      </c>
      <c r="F40" s="3" t="s">
        <v>28</v>
      </c>
      <c r="G40" s="4" t="s">
        <v>41</v>
      </c>
      <c r="H40" s="3"/>
      <c r="I40" s="3"/>
      <c r="J40" s="3"/>
      <c r="K40" s="3"/>
      <c r="L40" s="3"/>
      <c r="M40" s="3" t="s">
        <v>22</v>
      </c>
      <c r="N40" s="5">
        <v>37963</v>
      </c>
      <c r="O40" s="6">
        <v>46177</v>
      </c>
      <c r="P40" s="6">
        <f t="shared" si="6"/>
        <v>46182</v>
      </c>
      <c r="Q40" s="7" t="s">
        <v>104</v>
      </c>
      <c r="R40" s="2" t="s">
        <v>176</v>
      </c>
      <c r="S40" s="3" t="s">
        <v>32</v>
      </c>
      <c r="T40" s="3">
        <v>212201</v>
      </c>
      <c r="U40" s="2" t="s">
        <v>33</v>
      </c>
      <c r="V40" s="3"/>
      <c r="W40" s="7">
        <v>8765701984</v>
      </c>
      <c r="X40" s="2" t="s">
        <v>24</v>
      </c>
    </row>
    <row r="41" spans="1:24" x14ac:dyDescent="0.3">
      <c r="A41" s="3" t="s">
        <v>500</v>
      </c>
      <c r="B41" s="9" t="s">
        <v>180</v>
      </c>
      <c r="C41" s="1">
        <v>71478</v>
      </c>
      <c r="D41" s="2" t="s">
        <v>181</v>
      </c>
      <c r="E41" s="3" t="s">
        <v>182</v>
      </c>
      <c r="F41" s="3" t="s">
        <v>28</v>
      </c>
      <c r="G41" s="4" t="s">
        <v>41</v>
      </c>
      <c r="H41" s="3"/>
      <c r="I41" s="3"/>
      <c r="J41" s="3"/>
      <c r="K41" s="3"/>
      <c r="L41" s="3"/>
      <c r="M41" s="3" t="s">
        <v>22</v>
      </c>
      <c r="N41" s="5">
        <v>39115</v>
      </c>
      <c r="O41" s="6">
        <v>46177</v>
      </c>
      <c r="P41" s="6">
        <f t="shared" si="6"/>
        <v>46182</v>
      </c>
      <c r="Q41" s="7" t="s">
        <v>109</v>
      </c>
      <c r="R41" s="2" t="s">
        <v>183</v>
      </c>
      <c r="S41" s="3" t="s">
        <v>32</v>
      </c>
      <c r="T41" s="3">
        <v>212666</v>
      </c>
      <c r="U41" s="2" t="s">
        <v>37</v>
      </c>
      <c r="V41" s="3"/>
      <c r="W41" s="7">
        <v>9305275115</v>
      </c>
      <c r="X41" s="2" t="s">
        <v>24</v>
      </c>
    </row>
    <row r="42" spans="1:24" x14ac:dyDescent="0.3">
      <c r="A42" s="3" t="s">
        <v>499</v>
      </c>
      <c r="B42" s="9" t="s">
        <v>184</v>
      </c>
      <c r="C42" s="1">
        <v>89519</v>
      </c>
      <c r="D42" s="2" t="s">
        <v>185</v>
      </c>
      <c r="E42" s="3" t="s">
        <v>186</v>
      </c>
      <c r="F42" s="3" t="s">
        <v>28</v>
      </c>
      <c r="G42" s="4" t="s">
        <v>29</v>
      </c>
      <c r="H42" s="3"/>
      <c r="I42" s="3"/>
      <c r="J42" s="3"/>
      <c r="K42" s="3"/>
      <c r="L42" s="3"/>
      <c r="M42" s="3" t="s">
        <v>22</v>
      </c>
      <c r="N42" s="5">
        <v>38721</v>
      </c>
      <c r="O42" s="6">
        <v>46174</v>
      </c>
      <c r="P42" s="6">
        <f>O42+2</f>
        <v>46176</v>
      </c>
      <c r="Q42" s="7" t="s">
        <v>30</v>
      </c>
      <c r="R42" s="2" t="s">
        <v>71</v>
      </c>
      <c r="S42" s="3" t="s">
        <v>32</v>
      </c>
      <c r="T42" s="3">
        <v>209112</v>
      </c>
      <c r="U42" s="2" t="s">
        <v>37</v>
      </c>
      <c r="V42" s="3"/>
      <c r="W42" s="7">
        <v>9250093389</v>
      </c>
      <c r="X42" s="2" t="s">
        <v>24</v>
      </c>
    </row>
    <row r="43" spans="1:24" x14ac:dyDescent="0.3">
      <c r="A43" s="3" t="s">
        <v>499</v>
      </c>
      <c r="B43" s="9" t="s">
        <v>187</v>
      </c>
      <c r="C43" s="1">
        <v>89520</v>
      </c>
      <c r="D43" s="2" t="s">
        <v>188</v>
      </c>
      <c r="E43" s="3" t="s">
        <v>189</v>
      </c>
      <c r="F43" s="3" t="s">
        <v>28</v>
      </c>
      <c r="G43" s="4" t="s">
        <v>41</v>
      </c>
      <c r="H43" s="3"/>
      <c r="I43" s="3"/>
      <c r="J43" s="3"/>
      <c r="K43" s="3"/>
      <c r="L43" s="3"/>
      <c r="M43" s="3" t="s">
        <v>22</v>
      </c>
      <c r="N43" s="5">
        <v>38519</v>
      </c>
      <c r="O43" s="6">
        <v>46175</v>
      </c>
      <c r="P43" s="6">
        <f>O43+5</f>
        <v>46180</v>
      </c>
      <c r="Q43" s="7" t="s">
        <v>30</v>
      </c>
      <c r="R43" s="2" t="s">
        <v>126</v>
      </c>
      <c r="S43" s="3" t="s">
        <v>32</v>
      </c>
      <c r="T43" s="3">
        <v>284205</v>
      </c>
      <c r="U43" s="2" t="s">
        <v>37</v>
      </c>
      <c r="V43" s="3"/>
      <c r="W43" s="7">
        <v>9170793342</v>
      </c>
      <c r="X43" s="2" t="s">
        <v>24</v>
      </c>
    </row>
    <row r="44" spans="1:24" x14ac:dyDescent="0.3">
      <c r="A44" s="3" t="s">
        <v>499</v>
      </c>
      <c r="B44" s="9" t="s">
        <v>190</v>
      </c>
      <c r="C44" s="1">
        <v>89521</v>
      </c>
      <c r="D44" s="2" t="s">
        <v>191</v>
      </c>
      <c r="E44" s="3" t="s">
        <v>192</v>
      </c>
      <c r="F44" s="3" t="s">
        <v>28</v>
      </c>
      <c r="G44" s="4" t="s">
        <v>41</v>
      </c>
      <c r="H44" s="3"/>
      <c r="I44" s="3"/>
      <c r="J44" s="3"/>
      <c r="K44" s="3"/>
      <c r="L44" s="3"/>
      <c r="M44" s="3" t="s">
        <v>22</v>
      </c>
      <c r="N44" s="5">
        <v>37554</v>
      </c>
      <c r="O44" s="6">
        <v>46176</v>
      </c>
      <c r="P44" s="6">
        <f>O44+5</f>
        <v>46181</v>
      </c>
      <c r="Q44" s="7" t="s">
        <v>30</v>
      </c>
      <c r="R44" s="2" t="s">
        <v>176</v>
      </c>
      <c r="S44" s="3" t="s">
        <v>32</v>
      </c>
      <c r="T44" s="3">
        <v>212205</v>
      </c>
      <c r="U44" s="2" t="s">
        <v>33</v>
      </c>
      <c r="V44" s="3"/>
      <c r="W44" s="7">
        <v>9198428556</v>
      </c>
      <c r="X44" s="2" t="s">
        <v>24</v>
      </c>
    </row>
    <row r="45" spans="1:24" x14ac:dyDescent="0.3">
      <c r="A45" s="3" t="s">
        <v>501</v>
      </c>
      <c r="B45" s="9" t="s">
        <v>193</v>
      </c>
      <c r="C45" s="1">
        <v>38911</v>
      </c>
      <c r="D45" s="2" t="s">
        <v>194</v>
      </c>
      <c r="E45" s="3" t="s">
        <v>195</v>
      </c>
      <c r="F45" s="3" t="s">
        <v>28</v>
      </c>
      <c r="G45" s="4" t="s">
        <v>29</v>
      </c>
      <c r="H45" s="3"/>
      <c r="I45" s="3"/>
      <c r="J45" s="3"/>
      <c r="K45" s="3"/>
      <c r="L45" s="3"/>
      <c r="M45" s="3" t="s">
        <v>22</v>
      </c>
      <c r="N45" s="5">
        <v>38654</v>
      </c>
      <c r="O45" s="6">
        <v>46174</v>
      </c>
      <c r="P45" s="6">
        <f t="shared" ref="P45:P46" si="7">O45+2</f>
        <v>46176</v>
      </c>
      <c r="Q45" s="7" t="s">
        <v>30</v>
      </c>
      <c r="R45" s="2" t="s">
        <v>161</v>
      </c>
      <c r="S45" s="3" t="s">
        <v>32</v>
      </c>
      <c r="T45" s="3">
        <v>273151</v>
      </c>
      <c r="U45" s="2" t="s">
        <v>33</v>
      </c>
      <c r="V45" s="3"/>
      <c r="W45" s="7">
        <v>9140280366</v>
      </c>
      <c r="X45" s="2" t="s">
        <v>24</v>
      </c>
    </row>
    <row r="46" spans="1:24" x14ac:dyDescent="0.3">
      <c r="A46" s="3" t="s">
        <v>501</v>
      </c>
      <c r="B46" s="9" t="s">
        <v>196</v>
      </c>
      <c r="C46" s="1">
        <v>38912</v>
      </c>
      <c r="D46" s="2" t="s">
        <v>197</v>
      </c>
      <c r="E46" s="3" t="s">
        <v>198</v>
      </c>
      <c r="F46" s="3" t="s">
        <v>28</v>
      </c>
      <c r="G46" s="4" t="s">
        <v>63</v>
      </c>
      <c r="H46" s="3"/>
      <c r="I46" s="3"/>
      <c r="J46" s="3"/>
      <c r="K46" s="3"/>
      <c r="L46" s="3"/>
      <c r="M46" s="3" t="s">
        <v>22</v>
      </c>
      <c r="N46" s="5">
        <v>38910</v>
      </c>
      <c r="O46" s="6">
        <v>46174</v>
      </c>
      <c r="P46" s="6">
        <f t="shared" si="7"/>
        <v>46176</v>
      </c>
      <c r="Q46" s="7" t="s">
        <v>30</v>
      </c>
      <c r="R46" s="2" t="s">
        <v>161</v>
      </c>
      <c r="S46" s="3" t="s">
        <v>32</v>
      </c>
      <c r="T46" s="3">
        <v>273151</v>
      </c>
      <c r="U46" s="2" t="s">
        <v>33</v>
      </c>
      <c r="V46" s="3"/>
      <c r="W46" s="7">
        <v>9219398856</v>
      </c>
      <c r="X46" s="2" t="s">
        <v>24</v>
      </c>
    </row>
    <row r="47" spans="1:24" x14ac:dyDescent="0.3">
      <c r="A47" s="3" t="s">
        <v>501</v>
      </c>
      <c r="B47" s="9" t="s">
        <v>199</v>
      </c>
      <c r="C47" s="1">
        <v>38913</v>
      </c>
      <c r="D47" s="2" t="s">
        <v>200</v>
      </c>
      <c r="E47" s="3" t="s">
        <v>201</v>
      </c>
      <c r="F47" s="3" t="s">
        <v>28</v>
      </c>
      <c r="G47" s="4" t="s">
        <v>29</v>
      </c>
      <c r="H47" s="3"/>
      <c r="I47" s="3"/>
      <c r="J47" s="3"/>
      <c r="K47" s="3"/>
      <c r="L47" s="3"/>
      <c r="M47" s="3" t="s">
        <v>22</v>
      </c>
      <c r="N47" s="5">
        <v>36715</v>
      </c>
      <c r="O47" s="6">
        <v>46175</v>
      </c>
      <c r="P47" s="6">
        <f>O47+2</f>
        <v>46177</v>
      </c>
      <c r="Q47" s="7" t="s">
        <v>30</v>
      </c>
      <c r="R47" s="2" t="s">
        <v>110</v>
      </c>
      <c r="S47" s="3" t="s">
        <v>32</v>
      </c>
      <c r="T47" s="3">
        <v>276139</v>
      </c>
      <c r="U47" s="2" t="s">
        <v>33</v>
      </c>
      <c r="V47" s="3"/>
      <c r="W47" s="7">
        <v>8708844747</v>
      </c>
      <c r="X47" s="2" t="s">
        <v>24</v>
      </c>
    </row>
    <row r="48" spans="1:24" x14ac:dyDescent="0.3">
      <c r="A48" s="3" t="s">
        <v>501</v>
      </c>
      <c r="B48" s="9" t="s">
        <v>202</v>
      </c>
      <c r="C48" s="1">
        <v>38914</v>
      </c>
      <c r="D48" s="2" t="s">
        <v>203</v>
      </c>
      <c r="E48" s="3" t="s">
        <v>204</v>
      </c>
      <c r="F48" s="3" t="s">
        <v>28</v>
      </c>
      <c r="G48" s="4" t="s">
        <v>41</v>
      </c>
      <c r="H48" s="3"/>
      <c r="I48" s="3"/>
      <c r="J48" s="3"/>
      <c r="K48" s="3"/>
      <c r="L48" s="3"/>
      <c r="M48" s="3" t="s">
        <v>22</v>
      </c>
      <c r="N48" s="5">
        <v>39271</v>
      </c>
      <c r="O48" s="6">
        <v>46176</v>
      </c>
      <c r="P48" s="6">
        <f>O48+5</f>
        <v>46181</v>
      </c>
      <c r="Q48" s="7" t="s">
        <v>30</v>
      </c>
      <c r="R48" s="2" t="s">
        <v>126</v>
      </c>
      <c r="S48" s="3" t="s">
        <v>32</v>
      </c>
      <c r="T48" s="3">
        <v>284205</v>
      </c>
      <c r="U48" s="2" t="s">
        <v>37</v>
      </c>
      <c r="V48" s="3"/>
      <c r="W48" s="7">
        <v>6386630596</v>
      </c>
      <c r="X48" s="2" t="s">
        <v>24</v>
      </c>
    </row>
    <row r="49" spans="1:24" x14ac:dyDescent="0.3">
      <c r="A49" s="3" t="s">
        <v>501</v>
      </c>
      <c r="B49" s="9" t="s">
        <v>205</v>
      </c>
      <c r="C49" s="1">
        <v>38915</v>
      </c>
      <c r="D49" s="2" t="s">
        <v>206</v>
      </c>
      <c r="E49" s="3" t="s">
        <v>207</v>
      </c>
      <c r="F49" s="3" t="s">
        <v>28</v>
      </c>
      <c r="G49" s="4" t="s">
        <v>208</v>
      </c>
      <c r="H49" s="3"/>
      <c r="I49" s="3"/>
      <c r="J49" s="3"/>
      <c r="K49" s="3"/>
      <c r="L49" s="3"/>
      <c r="M49" s="3" t="s">
        <v>22</v>
      </c>
      <c r="N49" s="5">
        <v>37698</v>
      </c>
      <c r="O49" s="6">
        <v>46176</v>
      </c>
      <c r="P49" s="6">
        <f t="shared" ref="P49:P50" si="8">O49+2</f>
        <v>46178</v>
      </c>
      <c r="Q49" s="7" t="s">
        <v>209</v>
      </c>
      <c r="R49" s="2" t="s">
        <v>210</v>
      </c>
      <c r="S49" s="3" t="s">
        <v>32</v>
      </c>
      <c r="T49" s="3">
        <v>281122</v>
      </c>
      <c r="U49" s="2" t="s">
        <v>211</v>
      </c>
      <c r="V49" s="3"/>
      <c r="W49" s="7">
        <v>7088203504</v>
      </c>
      <c r="X49" s="2" t="s">
        <v>24</v>
      </c>
    </row>
    <row r="50" spans="1:24" x14ac:dyDescent="0.3">
      <c r="A50" s="3" t="s">
        <v>501</v>
      </c>
      <c r="B50" s="9" t="s">
        <v>212</v>
      </c>
      <c r="C50" s="1">
        <v>38916</v>
      </c>
      <c r="D50" s="2" t="s">
        <v>213</v>
      </c>
      <c r="E50" s="3" t="s">
        <v>214</v>
      </c>
      <c r="F50" s="3" t="s">
        <v>28</v>
      </c>
      <c r="G50" s="4" t="s">
        <v>208</v>
      </c>
      <c r="H50" s="3"/>
      <c r="I50" s="3"/>
      <c r="J50" s="3"/>
      <c r="K50" s="3"/>
      <c r="L50" s="3"/>
      <c r="M50" s="3" t="s">
        <v>22</v>
      </c>
      <c r="N50" s="5">
        <v>35065</v>
      </c>
      <c r="O50" s="6">
        <v>46176</v>
      </c>
      <c r="P50" s="6">
        <f t="shared" si="8"/>
        <v>46178</v>
      </c>
      <c r="Q50" s="7" t="s">
        <v>23</v>
      </c>
      <c r="R50" s="2" t="s">
        <v>105</v>
      </c>
      <c r="S50" s="3" t="s">
        <v>32</v>
      </c>
      <c r="T50" s="3">
        <v>227409</v>
      </c>
      <c r="U50" s="2" t="s">
        <v>215</v>
      </c>
      <c r="V50" s="3"/>
      <c r="W50" s="7">
        <v>8396862199</v>
      </c>
      <c r="X50" s="2" t="s">
        <v>24</v>
      </c>
    </row>
    <row r="51" spans="1:24" x14ac:dyDescent="0.3">
      <c r="A51" s="3" t="s">
        <v>502</v>
      </c>
      <c r="B51" s="9" t="s">
        <v>216</v>
      </c>
      <c r="C51" s="1">
        <v>45350</v>
      </c>
      <c r="D51" s="3" t="s">
        <v>217</v>
      </c>
      <c r="E51" s="3" t="s">
        <v>218</v>
      </c>
      <c r="F51" s="3" t="s">
        <v>28</v>
      </c>
      <c r="G51" s="4" t="s">
        <v>41</v>
      </c>
      <c r="H51" s="3"/>
      <c r="I51" s="3"/>
      <c r="J51" s="3"/>
      <c r="K51" s="3"/>
      <c r="L51" s="3"/>
      <c r="M51" s="3" t="s">
        <v>22</v>
      </c>
      <c r="N51" s="5">
        <v>38592</v>
      </c>
      <c r="O51" s="6">
        <v>46174</v>
      </c>
      <c r="P51" s="6">
        <f t="shared" ref="P51:P53" si="9">O51+4</f>
        <v>46178</v>
      </c>
      <c r="Q51" s="7" t="s">
        <v>125</v>
      </c>
      <c r="R51" s="2" t="s">
        <v>110</v>
      </c>
      <c r="S51" s="3" t="s">
        <v>32</v>
      </c>
      <c r="T51" s="3">
        <v>276136</v>
      </c>
      <c r="U51" s="2" t="s">
        <v>33</v>
      </c>
      <c r="V51" s="3"/>
      <c r="W51" s="7">
        <v>8528819358</v>
      </c>
      <c r="X51" s="2" t="s">
        <v>24</v>
      </c>
    </row>
    <row r="52" spans="1:24" x14ac:dyDescent="0.3">
      <c r="A52" s="3" t="s">
        <v>502</v>
      </c>
      <c r="B52" s="9" t="s">
        <v>219</v>
      </c>
      <c r="C52" s="1">
        <v>45351</v>
      </c>
      <c r="D52" s="3" t="s">
        <v>220</v>
      </c>
      <c r="E52" s="3" t="s">
        <v>221</v>
      </c>
      <c r="F52" s="3" t="s">
        <v>28</v>
      </c>
      <c r="G52" s="4" t="s">
        <v>41</v>
      </c>
      <c r="H52" s="3"/>
      <c r="I52" s="3"/>
      <c r="J52" s="3"/>
      <c r="K52" s="3"/>
      <c r="L52" s="3"/>
      <c r="M52" s="3" t="s">
        <v>22</v>
      </c>
      <c r="N52" s="5">
        <v>36526</v>
      </c>
      <c r="O52" s="6">
        <v>46174</v>
      </c>
      <c r="P52" s="6">
        <f t="shared" si="9"/>
        <v>46178</v>
      </c>
      <c r="Q52" s="7" t="s">
        <v>30</v>
      </c>
      <c r="R52" s="2" t="s">
        <v>222</v>
      </c>
      <c r="S52" s="3" t="s">
        <v>223</v>
      </c>
      <c r="T52" s="3">
        <v>301402</v>
      </c>
      <c r="U52" s="2" t="s">
        <v>33</v>
      </c>
      <c r="V52" s="3"/>
      <c r="W52" s="7">
        <v>6350496057</v>
      </c>
      <c r="X52" s="2" t="s">
        <v>24</v>
      </c>
    </row>
    <row r="53" spans="1:24" x14ac:dyDescent="0.3">
      <c r="A53" s="3" t="s">
        <v>502</v>
      </c>
      <c r="B53" s="9" t="s">
        <v>224</v>
      </c>
      <c r="C53" s="1">
        <v>45352</v>
      </c>
      <c r="D53" s="3" t="s">
        <v>225</v>
      </c>
      <c r="E53" s="3" t="s">
        <v>226</v>
      </c>
      <c r="F53" s="3" t="s">
        <v>28</v>
      </c>
      <c r="G53" s="4" t="s">
        <v>41</v>
      </c>
      <c r="H53" s="3"/>
      <c r="I53" s="3"/>
      <c r="J53" s="3"/>
      <c r="K53" s="3"/>
      <c r="L53" s="3"/>
      <c r="M53" s="3" t="s">
        <v>22</v>
      </c>
      <c r="N53" s="5">
        <v>38869</v>
      </c>
      <c r="O53" s="6">
        <v>46174</v>
      </c>
      <c r="P53" s="6">
        <f t="shared" si="9"/>
        <v>46178</v>
      </c>
      <c r="Q53" s="7" t="s">
        <v>30</v>
      </c>
      <c r="R53" s="2" t="s">
        <v>227</v>
      </c>
      <c r="S53" s="3" t="s">
        <v>32</v>
      </c>
      <c r="T53" s="3">
        <v>207403</v>
      </c>
      <c r="U53" s="2" t="s">
        <v>37</v>
      </c>
      <c r="V53" s="3"/>
      <c r="W53" s="7">
        <v>9368459173</v>
      </c>
      <c r="X53" s="2" t="s">
        <v>24</v>
      </c>
    </row>
    <row r="54" spans="1:24" x14ac:dyDescent="0.3">
      <c r="A54" s="3" t="s">
        <v>502</v>
      </c>
      <c r="B54" s="9" t="s">
        <v>228</v>
      </c>
      <c r="C54" s="1">
        <v>45353</v>
      </c>
      <c r="D54" s="3" t="s">
        <v>229</v>
      </c>
      <c r="E54" s="3" t="s">
        <v>230</v>
      </c>
      <c r="F54" s="3" t="s">
        <v>28</v>
      </c>
      <c r="G54" s="4" t="s">
        <v>29</v>
      </c>
      <c r="H54" s="3"/>
      <c r="I54" s="3"/>
      <c r="J54" s="3"/>
      <c r="K54" s="3"/>
      <c r="L54" s="3"/>
      <c r="M54" s="3" t="s">
        <v>22</v>
      </c>
      <c r="N54" s="5">
        <v>36811</v>
      </c>
      <c r="O54" s="6">
        <v>46174</v>
      </c>
      <c r="P54" s="6">
        <f>O54+2</f>
        <v>46176</v>
      </c>
      <c r="Q54" s="7" t="s">
        <v>125</v>
      </c>
      <c r="R54" s="2" t="s">
        <v>31</v>
      </c>
      <c r="S54" s="3" t="s">
        <v>32</v>
      </c>
      <c r="T54" s="3">
        <v>273405</v>
      </c>
      <c r="U54" s="2" t="s">
        <v>37</v>
      </c>
      <c r="V54" s="3"/>
      <c r="W54" s="7">
        <v>9794271582</v>
      </c>
      <c r="X54" s="2" t="s">
        <v>24</v>
      </c>
    </row>
    <row r="55" spans="1:24" x14ac:dyDescent="0.3">
      <c r="A55" s="3" t="s">
        <v>502</v>
      </c>
      <c r="B55" s="9" t="s">
        <v>231</v>
      </c>
      <c r="C55" s="1">
        <v>45354</v>
      </c>
      <c r="D55" s="2" t="s">
        <v>232</v>
      </c>
      <c r="E55" s="3" t="s">
        <v>233</v>
      </c>
      <c r="F55" s="3" t="s">
        <v>28</v>
      </c>
      <c r="G55" s="4" t="s">
        <v>41</v>
      </c>
      <c r="H55" s="3"/>
      <c r="I55" s="3"/>
      <c r="J55" s="3"/>
      <c r="K55" s="3"/>
      <c r="L55" s="3"/>
      <c r="M55" s="3" t="s">
        <v>22</v>
      </c>
      <c r="N55" s="5">
        <v>39237</v>
      </c>
      <c r="O55" s="6">
        <v>46175</v>
      </c>
      <c r="P55" s="6">
        <f t="shared" ref="P55:P56" si="10">O55+5</f>
        <v>46180</v>
      </c>
      <c r="Q55" s="7" t="s">
        <v>30</v>
      </c>
      <c r="R55" s="2" t="s">
        <v>234</v>
      </c>
      <c r="S55" s="3" t="s">
        <v>32</v>
      </c>
      <c r="T55" s="3">
        <v>209205</v>
      </c>
      <c r="U55" s="2" t="s">
        <v>111</v>
      </c>
      <c r="V55" s="3"/>
      <c r="W55" s="7">
        <v>9817743079</v>
      </c>
      <c r="X55" s="2" t="s">
        <v>24</v>
      </c>
    </row>
    <row r="56" spans="1:24" x14ac:dyDescent="0.3">
      <c r="A56" s="3" t="s">
        <v>502</v>
      </c>
      <c r="B56" s="9" t="s">
        <v>235</v>
      </c>
      <c r="C56" s="1">
        <v>45355</v>
      </c>
      <c r="D56" s="2" t="s">
        <v>236</v>
      </c>
      <c r="E56" s="3" t="s">
        <v>237</v>
      </c>
      <c r="F56" s="3" t="s">
        <v>28</v>
      </c>
      <c r="G56" s="4" t="s">
        <v>41</v>
      </c>
      <c r="H56" s="3"/>
      <c r="I56" s="3"/>
      <c r="J56" s="3"/>
      <c r="K56" s="3"/>
      <c r="L56" s="3"/>
      <c r="M56" s="3" t="s">
        <v>22</v>
      </c>
      <c r="N56" s="5">
        <v>39177</v>
      </c>
      <c r="O56" s="6">
        <v>46175</v>
      </c>
      <c r="P56" s="6">
        <f t="shared" si="10"/>
        <v>46180</v>
      </c>
      <c r="Q56" s="7" t="s">
        <v>30</v>
      </c>
      <c r="R56" s="2" t="s">
        <v>43</v>
      </c>
      <c r="S56" s="3" t="s">
        <v>32</v>
      </c>
      <c r="T56" s="3">
        <v>224234</v>
      </c>
      <c r="U56" s="2" t="s">
        <v>37</v>
      </c>
      <c r="V56" s="3"/>
      <c r="W56" s="7">
        <v>7235085192</v>
      </c>
      <c r="X56" s="2" t="s">
        <v>24</v>
      </c>
    </row>
    <row r="57" spans="1:24" x14ac:dyDescent="0.3">
      <c r="A57" s="3" t="s">
        <v>502</v>
      </c>
      <c r="B57" s="9" t="s">
        <v>238</v>
      </c>
      <c r="C57" s="1">
        <v>45356</v>
      </c>
      <c r="D57" s="2" t="s">
        <v>239</v>
      </c>
      <c r="E57" s="3" t="s">
        <v>240</v>
      </c>
      <c r="F57" s="3" t="s">
        <v>28</v>
      </c>
      <c r="G57" s="4" t="s">
        <v>41</v>
      </c>
      <c r="H57" s="3"/>
      <c r="I57" s="3"/>
      <c r="J57" s="3"/>
      <c r="K57" s="3"/>
      <c r="L57" s="3"/>
      <c r="M57" s="3" t="s">
        <v>22</v>
      </c>
      <c r="N57" s="5">
        <v>35692</v>
      </c>
      <c r="O57" s="6">
        <v>46176</v>
      </c>
      <c r="P57" s="6">
        <f>O57+5</f>
        <v>46181</v>
      </c>
      <c r="Q57" s="7" t="s">
        <v>125</v>
      </c>
      <c r="R57" s="2" t="s">
        <v>234</v>
      </c>
      <c r="S57" s="3" t="s">
        <v>32</v>
      </c>
      <c r="T57" s="3">
        <v>208011</v>
      </c>
      <c r="U57" s="2" t="s">
        <v>83</v>
      </c>
      <c r="V57" s="3"/>
      <c r="W57" s="7">
        <v>9336596302</v>
      </c>
      <c r="X57" s="2" t="s">
        <v>24</v>
      </c>
    </row>
    <row r="58" spans="1:24" x14ac:dyDescent="0.3">
      <c r="A58" s="3" t="s">
        <v>503</v>
      </c>
      <c r="B58" s="9" t="s">
        <v>241</v>
      </c>
      <c r="C58" s="1">
        <v>22450</v>
      </c>
      <c r="D58" s="2" t="s">
        <v>242</v>
      </c>
      <c r="E58" s="3" t="s">
        <v>243</v>
      </c>
      <c r="F58" s="3" t="s">
        <v>28</v>
      </c>
      <c r="G58" s="4" t="s">
        <v>41</v>
      </c>
      <c r="H58" s="3"/>
      <c r="I58" s="3"/>
      <c r="J58" s="3"/>
      <c r="K58" s="3"/>
      <c r="L58" s="3"/>
      <c r="M58" s="3" t="s">
        <v>22</v>
      </c>
      <c r="N58" s="5">
        <v>37975</v>
      </c>
      <c r="O58" s="6">
        <v>46174</v>
      </c>
      <c r="P58" s="6">
        <f>O58+4</f>
        <v>46178</v>
      </c>
      <c r="Q58" s="7" t="s">
        <v>30</v>
      </c>
      <c r="R58" s="2" t="s">
        <v>244</v>
      </c>
      <c r="S58" s="3" t="s">
        <v>32</v>
      </c>
      <c r="T58" s="3">
        <v>262122</v>
      </c>
      <c r="U58" s="2" t="s">
        <v>245</v>
      </c>
      <c r="V58" s="3"/>
      <c r="W58" s="7">
        <v>9350583660</v>
      </c>
      <c r="X58" s="2" t="s">
        <v>24</v>
      </c>
    </row>
    <row r="59" spans="1:24" x14ac:dyDescent="0.3">
      <c r="A59" s="3" t="s">
        <v>503</v>
      </c>
      <c r="B59" s="9" t="s">
        <v>246</v>
      </c>
      <c r="C59" s="1">
        <v>22451</v>
      </c>
      <c r="D59" s="2" t="s">
        <v>247</v>
      </c>
      <c r="E59" s="3" t="s">
        <v>248</v>
      </c>
      <c r="F59" s="3" t="s">
        <v>28</v>
      </c>
      <c r="G59" s="4" t="s">
        <v>41</v>
      </c>
      <c r="H59" s="3"/>
      <c r="I59" s="3"/>
      <c r="J59" s="3"/>
      <c r="K59" s="3"/>
      <c r="L59" s="3"/>
      <c r="M59" s="3" t="s">
        <v>22</v>
      </c>
      <c r="N59" s="5">
        <v>38201</v>
      </c>
      <c r="O59" s="6">
        <v>46176</v>
      </c>
      <c r="P59" s="6">
        <f>O59+5</f>
        <v>46181</v>
      </c>
      <c r="Q59" s="7" t="s">
        <v>23</v>
      </c>
      <c r="R59" s="2" t="s">
        <v>92</v>
      </c>
      <c r="S59" s="3" t="s">
        <v>32</v>
      </c>
      <c r="T59" s="3">
        <v>230201</v>
      </c>
      <c r="U59" s="2" t="s">
        <v>37</v>
      </c>
      <c r="V59" s="3"/>
      <c r="W59" s="7">
        <v>9118184709</v>
      </c>
      <c r="X59" s="2" t="s">
        <v>24</v>
      </c>
    </row>
    <row r="60" spans="1:24" x14ac:dyDescent="0.3">
      <c r="A60" s="3" t="s">
        <v>504</v>
      </c>
      <c r="B60" s="9" t="s">
        <v>249</v>
      </c>
      <c r="C60" s="1">
        <v>40268</v>
      </c>
      <c r="D60" s="2" t="s">
        <v>250</v>
      </c>
      <c r="E60" s="3" t="s">
        <v>251</v>
      </c>
      <c r="F60" s="3" t="s">
        <v>28</v>
      </c>
      <c r="G60" s="4" t="s">
        <v>29</v>
      </c>
      <c r="H60" s="3"/>
      <c r="I60" s="3"/>
      <c r="J60" s="3"/>
      <c r="K60" s="3"/>
      <c r="L60" s="3"/>
      <c r="M60" s="3" t="s">
        <v>22</v>
      </c>
      <c r="N60" s="5">
        <v>37903</v>
      </c>
      <c r="O60" s="6">
        <v>46175</v>
      </c>
      <c r="P60" s="6">
        <f t="shared" ref="P60:P61" si="11">O60+2</f>
        <v>46177</v>
      </c>
      <c r="Q60" s="7" t="s">
        <v>23</v>
      </c>
      <c r="R60" s="2" t="s">
        <v>252</v>
      </c>
      <c r="S60" s="3" t="s">
        <v>253</v>
      </c>
      <c r="T60" s="3">
        <v>485226</v>
      </c>
      <c r="U60" s="2" t="s">
        <v>37</v>
      </c>
      <c r="V60" s="3"/>
      <c r="W60" s="7">
        <v>7067175696</v>
      </c>
      <c r="X60" s="2" t="s">
        <v>24</v>
      </c>
    </row>
    <row r="61" spans="1:24" x14ac:dyDescent="0.3">
      <c r="A61" s="3" t="s">
        <v>504</v>
      </c>
      <c r="B61" s="9" t="s">
        <v>254</v>
      </c>
      <c r="C61" s="1">
        <v>40269</v>
      </c>
      <c r="D61" s="2" t="s">
        <v>51</v>
      </c>
      <c r="E61" s="3" t="s">
        <v>255</v>
      </c>
      <c r="F61" s="3" t="s">
        <v>28</v>
      </c>
      <c r="G61" s="4" t="s">
        <v>29</v>
      </c>
      <c r="H61" s="3"/>
      <c r="I61" s="3"/>
      <c r="J61" s="3"/>
      <c r="K61" s="3"/>
      <c r="L61" s="3"/>
      <c r="M61" s="3" t="s">
        <v>22</v>
      </c>
      <c r="N61" s="5">
        <v>38901</v>
      </c>
      <c r="O61" s="6">
        <v>46175</v>
      </c>
      <c r="P61" s="6">
        <f t="shared" si="11"/>
        <v>46177</v>
      </c>
      <c r="Q61" s="7" t="s">
        <v>30</v>
      </c>
      <c r="R61" s="2" t="s">
        <v>71</v>
      </c>
      <c r="S61" s="3" t="s">
        <v>32</v>
      </c>
      <c r="T61" s="3">
        <v>209310</v>
      </c>
      <c r="U61" s="2" t="s">
        <v>37</v>
      </c>
      <c r="V61" s="3"/>
      <c r="W61" s="7">
        <v>9151245903</v>
      </c>
      <c r="X61" s="2" t="s">
        <v>24</v>
      </c>
    </row>
    <row r="62" spans="1:24" x14ac:dyDescent="0.3">
      <c r="A62" s="3" t="s">
        <v>504</v>
      </c>
      <c r="B62" s="9" t="s">
        <v>256</v>
      </c>
      <c r="C62" s="1">
        <v>40270</v>
      </c>
      <c r="D62" s="2" t="s">
        <v>257</v>
      </c>
      <c r="E62" s="3" t="s">
        <v>258</v>
      </c>
      <c r="F62" s="3" t="s">
        <v>28</v>
      </c>
      <c r="G62" s="4" t="s">
        <v>41</v>
      </c>
      <c r="H62" s="3"/>
      <c r="I62" s="3"/>
      <c r="J62" s="3"/>
      <c r="K62" s="3"/>
      <c r="L62" s="3"/>
      <c r="M62" s="3" t="s">
        <v>22</v>
      </c>
      <c r="N62" s="5">
        <v>38761</v>
      </c>
      <c r="O62" s="6">
        <v>46176</v>
      </c>
      <c r="P62" s="6">
        <f>O62+5</f>
        <v>46181</v>
      </c>
      <c r="Q62" s="7" t="s">
        <v>30</v>
      </c>
      <c r="R62" s="2" t="s">
        <v>183</v>
      </c>
      <c r="S62" s="3" t="s">
        <v>32</v>
      </c>
      <c r="T62" s="3">
        <v>212666</v>
      </c>
      <c r="U62" s="2" t="s">
        <v>37</v>
      </c>
      <c r="V62" s="3"/>
      <c r="W62" s="7">
        <v>7388684700</v>
      </c>
      <c r="X62" s="2" t="s">
        <v>24</v>
      </c>
    </row>
    <row r="63" spans="1:24" x14ac:dyDescent="0.3">
      <c r="A63" s="3" t="s">
        <v>504</v>
      </c>
      <c r="B63" s="9" t="s">
        <v>259</v>
      </c>
      <c r="C63" s="1">
        <v>40271</v>
      </c>
      <c r="D63" s="2" t="s">
        <v>260</v>
      </c>
      <c r="E63" s="3" t="s">
        <v>261</v>
      </c>
      <c r="F63" s="3" t="s">
        <v>28</v>
      </c>
      <c r="G63" s="4" t="s">
        <v>262</v>
      </c>
      <c r="H63" s="3"/>
      <c r="I63" s="3"/>
      <c r="J63" s="3"/>
      <c r="K63" s="3"/>
      <c r="L63" s="3"/>
      <c r="M63" s="3" t="s">
        <v>22</v>
      </c>
      <c r="N63" s="5">
        <v>38866</v>
      </c>
      <c r="O63" s="6">
        <v>46176</v>
      </c>
      <c r="P63" s="6">
        <f>O63+2</f>
        <v>46178</v>
      </c>
      <c r="Q63" s="7" t="s">
        <v>23</v>
      </c>
      <c r="R63" s="2" t="s">
        <v>110</v>
      </c>
      <c r="S63" s="3" t="s">
        <v>32</v>
      </c>
      <c r="T63" s="3">
        <v>276204</v>
      </c>
      <c r="U63" s="2" t="s">
        <v>37</v>
      </c>
      <c r="V63" s="3"/>
      <c r="W63" s="7">
        <v>6386547451</v>
      </c>
      <c r="X63" s="2" t="s">
        <v>24</v>
      </c>
    </row>
    <row r="64" spans="1:24" x14ac:dyDescent="0.3">
      <c r="A64" s="3" t="s">
        <v>505</v>
      </c>
      <c r="B64" s="9" t="s">
        <v>263</v>
      </c>
      <c r="C64" s="1">
        <v>94142</v>
      </c>
      <c r="D64" s="2" t="s">
        <v>264</v>
      </c>
      <c r="E64" s="3" t="s">
        <v>265</v>
      </c>
      <c r="F64" s="3" t="s">
        <v>28</v>
      </c>
      <c r="G64" s="4" t="s">
        <v>41</v>
      </c>
      <c r="H64" s="3"/>
      <c r="I64" s="3"/>
      <c r="J64" s="3"/>
      <c r="K64" s="3"/>
      <c r="L64" s="3"/>
      <c r="M64" s="3" t="s">
        <v>22</v>
      </c>
      <c r="N64" s="5">
        <v>38018</v>
      </c>
      <c r="O64" s="6">
        <v>46174</v>
      </c>
      <c r="P64" s="6">
        <f t="shared" ref="P64:P66" si="12">O64+4</f>
        <v>46178</v>
      </c>
      <c r="Q64" s="7" t="s">
        <v>23</v>
      </c>
      <c r="R64" s="2" t="s">
        <v>266</v>
      </c>
      <c r="S64" s="3" t="s">
        <v>88</v>
      </c>
      <c r="T64" s="3">
        <v>841506</v>
      </c>
      <c r="U64" s="2" t="s">
        <v>33</v>
      </c>
      <c r="V64" s="3"/>
      <c r="W64" s="7">
        <v>9540312584</v>
      </c>
      <c r="X64" s="2" t="s">
        <v>24</v>
      </c>
    </row>
    <row r="65" spans="1:24" x14ac:dyDescent="0.3">
      <c r="A65" s="3" t="s">
        <v>505</v>
      </c>
      <c r="B65" s="9" t="s">
        <v>267</v>
      </c>
      <c r="C65" s="1">
        <v>94143</v>
      </c>
      <c r="D65" s="2" t="s">
        <v>268</v>
      </c>
      <c r="E65" s="3" t="s">
        <v>269</v>
      </c>
      <c r="F65" s="3" t="s">
        <v>28</v>
      </c>
      <c r="G65" s="4" t="s">
        <v>41</v>
      </c>
      <c r="H65" s="3"/>
      <c r="I65" s="3"/>
      <c r="J65" s="3"/>
      <c r="K65" s="3"/>
      <c r="L65" s="3"/>
      <c r="M65" s="3" t="s">
        <v>22</v>
      </c>
      <c r="N65" s="5">
        <v>39231</v>
      </c>
      <c r="O65" s="6">
        <v>46174</v>
      </c>
      <c r="P65" s="6">
        <f t="shared" si="12"/>
        <v>46178</v>
      </c>
      <c r="Q65" s="7" t="s">
        <v>30</v>
      </c>
      <c r="R65" s="2" t="s">
        <v>266</v>
      </c>
      <c r="S65" s="3" t="s">
        <v>88</v>
      </c>
      <c r="T65" s="3">
        <v>841506</v>
      </c>
      <c r="U65" s="2" t="s">
        <v>33</v>
      </c>
      <c r="V65" s="3"/>
      <c r="W65" s="7">
        <v>8757514361</v>
      </c>
      <c r="X65" s="2" t="s">
        <v>24</v>
      </c>
    </row>
    <row r="66" spans="1:24" x14ac:dyDescent="0.3">
      <c r="A66" s="3" t="s">
        <v>505</v>
      </c>
      <c r="B66" s="9" t="s">
        <v>270</v>
      </c>
      <c r="C66" s="1">
        <v>94144</v>
      </c>
      <c r="D66" s="2" t="s">
        <v>271</v>
      </c>
      <c r="E66" s="3" t="s">
        <v>272</v>
      </c>
      <c r="F66" s="3" t="s">
        <v>28</v>
      </c>
      <c r="G66" s="4" t="s">
        <v>41</v>
      </c>
      <c r="H66" s="3"/>
      <c r="I66" s="3"/>
      <c r="J66" s="3"/>
      <c r="K66" s="3"/>
      <c r="L66" s="3"/>
      <c r="M66" s="3" t="s">
        <v>22</v>
      </c>
      <c r="N66" s="5">
        <v>39406</v>
      </c>
      <c r="O66" s="6">
        <v>46174</v>
      </c>
      <c r="P66" s="6">
        <f t="shared" si="12"/>
        <v>46178</v>
      </c>
      <c r="Q66" s="7" t="s">
        <v>30</v>
      </c>
      <c r="R66" s="2" t="s">
        <v>273</v>
      </c>
      <c r="S66" s="3" t="s">
        <v>32</v>
      </c>
      <c r="T66" s="3">
        <v>274703</v>
      </c>
      <c r="U66" s="2" t="s">
        <v>33</v>
      </c>
      <c r="V66" s="3"/>
      <c r="W66" s="7">
        <v>9198287740</v>
      </c>
      <c r="X66" s="2" t="s">
        <v>24</v>
      </c>
    </row>
    <row r="67" spans="1:24" x14ac:dyDescent="0.3">
      <c r="A67" s="3" t="s">
        <v>505</v>
      </c>
      <c r="B67" s="9" t="s">
        <v>274</v>
      </c>
      <c r="C67" s="1">
        <v>94145</v>
      </c>
      <c r="D67" s="2" t="s">
        <v>275</v>
      </c>
      <c r="E67" s="3" t="s">
        <v>276</v>
      </c>
      <c r="F67" s="3" t="s">
        <v>28</v>
      </c>
      <c r="G67" s="4" t="s">
        <v>29</v>
      </c>
      <c r="H67" s="3"/>
      <c r="I67" s="3"/>
      <c r="J67" s="3"/>
      <c r="K67" s="3"/>
      <c r="L67" s="3"/>
      <c r="M67" s="3" t="s">
        <v>22</v>
      </c>
      <c r="N67" s="5">
        <v>39227</v>
      </c>
      <c r="O67" s="6">
        <v>46174</v>
      </c>
      <c r="P67" s="6">
        <f t="shared" ref="P67:P68" si="13">O67+2</f>
        <v>46176</v>
      </c>
      <c r="Q67" s="7" t="s">
        <v>23</v>
      </c>
      <c r="R67" s="2" t="s">
        <v>277</v>
      </c>
      <c r="S67" s="3" t="s">
        <v>32</v>
      </c>
      <c r="T67" s="3">
        <v>272172</v>
      </c>
      <c r="U67" s="2" t="s">
        <v>33</v>
      </c>
      <c r="V67" s="3"/>
      <c r="W67" s="7">
        <v>7317772867</v>
      </c>
      <c r="X67" s="2" t="s">
        <v>24</v>
      </c>
    </row>
    <row r="68" spans="1:24" x14ac:dyDescent="0.3">
      <c r="A68" s="3" t="s">
        <v>505</v>
      </c>
      <c r="B68" s="9" t="s">
        <v>278</v>
      </c>
      <c r="C68" s="1">
        <v>94146</v>
      </c>
      <c r="D68" s="2" t="s">
        <v>279</v>
      </c>
      <c r="E68" s="3" t="s">
        <v>280</v>
      </c>
      <c r="F68" s="3" t="s">
        <v>28</v>
      </c>
      <c r="G68" s="4" t="s">
        <v>29</v>
      </c>
      <c r="H68" s="3"/>
      <c r="I68" s="3"/>
      <c r="J68" s="3"/>
      <c r="K68" s="3"/>
      <c r="L68" s="3"/>
      <c r="M68" s="3" t="s">
        <v>22</v>
      </c>
      <c r="N68" s="5">
        <v>38351</v>
      </c>
      <c r="O68" s="6">
        <v>46174</v>
      </c>
      <c r="P68" s="6">
        <f t="shared" si="13"/>
        <v>46176</v>
      </c>
      <c r="Q68" s="7" t="s">
        <v>125</v>
      </c>
      <c r="R68" s="2" t="s">
        <v>281</v>
      </c>
      <c r="S68" s="3" t="s">
        <v>32</v>
      </c>
      <c r="T68" s="3">
        <v>222201</v>
      </c>
      <c r="U68" s="2" t="s">
        <v>33</v>
      </c>
      <c r="V68" s="3"/>
      <c r="W68" s="7">
        <v>9554687705</v>
      </c>
      <c r="X68" s="2" t="s">
        <v>24</v>
      </c>
    </row>
    <row r="69" spans="1:24" x14ac:dyDescent="0.3">
      <c r="A69" s="3" t="s">
        <v>505</v>
      </c>
      <c r="B69" s="9" t="s">
        <v>282</v>
      </c>
      <c r="C69" s="1">
        <v>94147</v>
      </c>
      <c r="D69" s="2" t="s">
        <v>155</v>
      </c>
      <c r="E69" s="3" t="s">
        <v>283</v>
      </c>
      <c r="F69" s="3" t="s">
        <v>28</v>
      </c>
      <c r="G69" s="4" t="s">
        <v>41</v>
      </c>
      <c r="H69" s="3"/>
      <c r="I69" s="3"/>
      <c r="J69" s="3"/>
      <c r="K69" s="3"/>
      <c r="L69" s="3"/>
      <c r="M69" s="3" t="s">
        <v>22</v>
      </c>
      <c r="N69" s="5">
        <v>38817</v>
      </c>
      <c r="O69" s="6">
        <v>46174</v>
      </c>
      <c r="P69" s="6">
        <f>O69+4</f>
        <v>46178</v>
      </c>
      <c r="Q69" s="7" t="s">
        <v>30</v>
      </c>
      <c r="R69" s="2" t="s">
        <v>284</v>
      </c>
      <c r="S69" s="3" t="s">
        <v>32</v>
      </c>
      <c r="T69" s="3">
        <v>271230</v>
      </c>
      <c r="U69" s="2" t="s">
        <v>37</v>
      </c>
      <c r="V69" s="3"/>
      <c r="W69" s="7">
        <v>7310287830</v>
      </c>
      <c r="X69" s="2" t="s">
        <v>24</v>
      </c>
    </row>
    <row r="70" spans="1:24" x14ac:dyDescent="0.3">
      <c r="A70" s="3" t="s">
        <v>505</v>
      </c>
      <c r="B70" s="9" t="s">
        <v>285</v>
      </c>
      <c r="C70" s="1">
        <v>94148</v>
      </c>
      <c r="D70" s="2" t="s">
        <v>286</v>
      </c>
      <c r="E70" s="3" t="s">
        <v>74</v>
      </c>
      <c r="F70" s="3" t="s">
        <v>28</v>
      </c>
      <c r="G70" s="4" t="s">
        <v>29</v>
      </c>
      <c r="H70" s="3"/>
      <c r="I70" s="3"/>
      <c r="J70" s="3"/>
      <c r="K70" s="3"/>
      <c r="L70" s="3"/>
      <c r="M70" s="3" t="s">
        <v>22</v>
      </c>
      <c r="N70" s="5">
        <v>36931</v>
      </c>
      <c r="O70" s="6">
        <v>46174</v>
      </c>
      <c r="P70" s="6">
        <f>O70+2</f>
        <v>46176</v>
      </c>
      <c r="Q70" s="7" t="s">
        <v>125</v>
      </c>
      <c r="R70" s="2" t="s">
        <v>147</v>
      </c>
      <c r="S70" s="3" t="s">
        <v>32</v>
      </c>
      <c r="T70" s="3">
        <v>212106</v>
      </c>
      <c r="U70" s="2" t="s">
        <v>37</v>
      </c>
      <c r="V70" s="3"/>
      <c r="W70" s="7">
        <v>7985246793</v>
      </c>
      <c r="X70" s="2" t="s">
        <v>24</v>
      </c>
    </row>
    <row r="71" spans="1:24" x14ac:dyDescent="0.3">
      <c r="A71" s="3" t="s">
        <v>505</v>
      </c>
      <c r="B71" s="9" t="s">
        <v>287</v>
      </c>
      <c r="C71" s="1">
        <v>94149</v>
      </c>
      <c r="D71" s="2" t="s">
        <v>288</v>
      </c>
      <c r="E71" s="3" t="s">
        <v>289</v>
      </c>
      <c r="F71" s="3" t="s">
        <v>28</v>
      </c>
      <c r="G71" s="4" t="s">
        <v>29</v>
      </c>
      <c r="H71" s="3"/>
      <c r="I71" s="3"/>
      <c r="J71" s="3"/>
      <c r="K71" s="3"/>
      <c r="L71" s="3"/>
      <c r="M71" s="3" t="s">
        <v>22</v>
      </c>
      <c r="N71" s="5">
        <v>36573</v>
      </c>
      <c r="O71" s="6">
        <v>46175</v>
      </c>
      <c r="P71" s="6">
        <f>O71+2</f>
        <v>46177</v>
      </c>
      <c r="Q71" s="7" t="s">
        <v>30</v>
      </c>
      <c r="R71" s="2" t="s">
        <v>147</v>
      </c>
      <c r="S71" s="3" t="s">
        <v>32</v>
      </c>
      <c r="T71" s="3">
        <v>212106</v>
      </c>
      <c r="U71" s="2" t="s">
        <v>37</v>
      </c>
      <c r="V71" s="3"/>
      <c r="W71" s="7">
        <v>8858937678</v>
      </c>
      <c r="X71" s="2" t="s">
        <v>24</v>
      </c>
    </row>
    <row r="72" spans="1:24" x14ac:dyDescent="0.3">
      <c r="A72" s="3" t="s">
        <v>505</v>
      </c>
      <c r="B72" s="9" t="s">
        <v>290</v>
      </c>
      <c r="C72" s="1">
        <v>94150</v>
      </c>
      <c r="D72" s="2" t="s">
        <v>242</v>
      </c>
      <c r="E72" s="3" t="s">
        <v>291</v>
      </c>
      <c r="F72" s="3" t="s">
        <v>28</v>
      </c>
      <c r="G72" s="4" t="s">
        <v>41</v>
      </c>
      <c r="H72" s="3"/>
      <c r="I72" s="3"/>
      <c r="J72" s="3"/>
      <c r="K72" s="3"/>
      <c r="L72" s="3"/>
      <c r="M72" s="3" t="s">
        <v>22</v>
      </c>
      <c r="N72" s="5">
        <v>38778</v>
      </c>
      <c r="O72" s="6">
        <v>46175</v>
      </c>
      <c r="P72" s="6">
        <f>O72+5</f>
        <v>46180</v>
      </c>
      <c r="Q72" s="7" t="s">
        <v>125</v>
      </c>
      <c r="R72" s="2" t="s">
        <v>183</v>
      </c>
      <c r="S72" s="3" t="s">
        <v>32</v>
      </c>
      <c r="T72" s="3">
        <v>212631</v>
      </c>
      <c r="U72" s="2" t="s">
        <v>37</v>
      </c>
      <c r="V72" s="3"/>
      <c r="W72" s="7">
        <v>9569174461</v>
      </c>
      <c r="X72" s="2" t="s">
        <v>24</v>
      </c>
    </row>
    <row r="73" spans="1:24" x14ac:dyDescent="0.3">
      <c r="A73" s="3" t="s">
        <v>505</v>
      </c>
      <c r="B73" s="9" t="s">
        <v>292</v>
      </c>
      <c r="C73" s="1">
        <v>94151</v>
      </c>
      <c r="D73" s="2" t="s">
        <v>293</v>
      </c>
      <c r="E73" s="3" t="s">
        <v>294</v>
      </c>
      <c r="F73" s="3" t="s">
        <v>28</v>
      </c>
      <c r="G73" s="4" t="s">
        <v>41</v>
      </c>
      <c r="H73" s="3"/>
      <c r="I73" s="3"/>
      <c r="J73" s="3"/>
      <c r="K73" s="3"/>
      <c r="L73" s="3"/>
      <c r="M73" s="3" t="s">
        <v>22</v>
      </c>
      <c r="N73" s="5">
        <v>37415</v>
      </c>
      <c r="O73" s="6">
        <v>46176</v>
      </c>
      <c r="P73" s="6">
        <f t="shared" ref="P73:P74" si="14">O73+5</f>
        <v>46181</v>
      </c>
      <c r="Q73" s="7" t="s">
        <v>23</v>
      </c>
      <c r="R73" s="2" t="s">
        <v>295</v>
      </c>
      <c r="S73" s="3" t="s">
        <v>32</v>
      </c>
      <c r="T73" s="3">
        <v>242307</v>
      </c>
      <c r="U73" s="2" t="s">
        <v>37</v>
      </c>
      <c r="V73" s="3"/>
      <c r="W73" s="7">
        <v>8009199073</v>
      </c>
      <c r="X73" s="2" t="s">
        <v>24</v>
      </c>
    </row>
    <row r="74" spans="1:24" x14ac:dyDescent="0.3">
      <c r="A74" s="3" t="s">
        <v>505</v>
      </c>
      <c r="B74" s="9" t="s">
        <v>296</v>
      </c>
      <c r="C74" s="1">
        <v>94152</v>
      </c>
      <c r="D74" s="2" t="s">
        <v>297</v>
      </c>
      <c r="E74" s="3" t="s">
        <v>298</v>
      </c>
      <c r="F74" s="3" t="s">
        <v>28</v>
      </c>
      <c r="G74" s="4" t="s">
        <v>41</v>
      </c>
      <c r="H74" s="3"/>
      <c r="I74" s="3"/>
      <c r="J74" s="3"/>
      <c r="K74" s="3"/>
      <c r="L74" s="3"/>
      <c r="M74" s="3" t="s">
        <v>22</v>
      </c>
      <c r="N74" s="5">
        <v>36323</v>
      </c>
      <c r="O74" s="6">
        <v>46176</v>
      </c>
      <c r="P74" s="6">
        <f t="shared" si="14"/>
        <v>46181</v>
      </c>
      <c r="Q74" s="7" t="s">
        <v>30</v>
      </c>
      <c r="R74" s="2" t="s">
        <v>147</v>
      </c>
      <c r="S74" s="3" t="s">
        <v>32</v>
      </c>
      <c r="T74" s="3">
        <v>212108</v>
      </c>
      <c r="U74" s="2" t="s">
        <v>37</v>
      </c>
      <c r="V74" s="3"/>
      <c r="W74" s="7">
        <v>7970396212</v>
      </c>
      <c r="X74" s="2" t="s">
        <v>24</v>
      </c>
    </row>
    <row r="75" spans="1:24" x14ac:dyDescent="0.3">
      <c r="A75" s="3" t="s">
        <v>506</v>
      </c>
      <c r="B75" s="9" t="s">
        <v>299</v>
      </c>
      <c r="C75" s="1">
        <v>64711</v>
      </c>
      <c r="D75" s="2" t="s">
        <v>300</v>
      </c>
      <c r="E75" s="3" t="s">
        <v>301</v>
      </c>
      <c r="F75" s="3" t="s">
        <v>28</v>
      </c>
      <c r="G75" s="4" t="s">
        <v>29</v>
      </c>
      <c r="H75" s="3"/>
      <c r="I75" s="3"/>
      <c r="J75" s="3"/>
      <c r="K75" s="3"/>
      <c r="L75" s="3"/>
      <c r="M75" s="3" t="s">
        <v>22</v>
      </c>
      <c r="N75" s="5">
        <v>36695</v>
      </c>
      <c r="O75" s="6">
        <v>46175</v>
      </c>
      <c r="P75" s="6">
        <f t="shared" ref="P75:P76" si="15">O75+2</f>
        <v>46177</v>
      </c>
      <c r="Q75" s="7" t="s">
        <v>30</v>
      </c>
      <c r="R75" s="2" t="s">
        <v>234</v>
      </c>
      <c r="S75" s="3" t="s">
        <v>32</v>
      </c>
      <c r="T75" s="3">
        <v>208001</v>
      </c>
      <c r="U75" s="2" t="s">
        <v>33</v>
      </c>
      <c r="V75" s="3"/>
      <c r="W75" s="7">
        <v>7496891692</v>
      </c>
      <c r="X75" s="2" t="s">
        <v>24</v>
      </c>
    </row>
    <row r="76" spans="1:24" x14ac:dyDescent="0.3">
      <c r="A76" s="3" t="s">
        <v>506</v>
      </c>
      <c r="B76" s="9" t="s">
        <v>302</v>
      </c>
      <c r="C76" s="1">
        <v>64712</v>
      </c>
      <c r="D76" s="2" t="s">
        <v>303</v>
      </c>
      <c r="E76" s="3" t="s">
        <v>304</v>
      </c>
      <c r="F76" s="3" t="s">
        <v>28</v>
      </c>
      <c r="G76" s="4" t="s">
        <v>134</v>
      </c>
      <c r="H76" s="3" t="s">
        <v>305</v>
      </c>
      <c r="I76" s="3"/>
      <c r="J76" s="3"/>
      <c r="K76" s="3"/>
      <c r="L76" s="3"/>
      <c r="M76" s="3" t="s">
        <v>22</v>
      </c>
      <c r="N76" s="5">
        <v>35432</v>
      </c>
      <c r="O76" s="6">
        <v>46175</v>
      </c>
      <c r="P76" s="6">
        <f t="shared" si="15"/>
        <v>46177</v>
      </c>
      <c r="Q76" s="7" t="s">
        <v>23</v>
      </c>
      <c r="R76" s="2" t="s">
        <v>147</v>
      </c>
      <c r="S76" s="3" t="s">
        <v>32</v>
      </c>
      <c r="T76" s="3">
        <v>211016</v>
      </c>
      <c r="U76" s="2" t="s">
        <v>37</v>
      </c>
      <c r="V76" s="3"/>
      <c r="W76" s="7">
        <v>9236259931</v>
      </c>
      <c r="X76" s="2" t="s">
        <v>24</v>
      </c>
    </row>
    <row r="77" spans="1:24" x14ac:dyDescent="0.3">
      <c r="A77" s="3" t="s">
        <v>507</v>
      </c>
      <c r="B77" s="9" t="s">
        <v>306</v>
      </c>
      <c r="C77" s="1">
        <v>55787</v>
      </c>
      <c r="D77" s="2" t="s">
        <v>307</v>
      </c>
      <c r="E77" s="3" t="s">
        <v>308</v>
      </c>
      <c r="F77" s="3" t="s">
        <v>28</v>
      </c>
      <c r="G77" s="4" t="s">
        <v>41</v>
      </c>
      <c r="H77" s="3"/>
      <c r="I77" s="3"/>
      <c r="J77" s="3"/>
      <c r="K77" s="3"/>
      <c r="L77" s="3"/>
      <c r="M77" s="3" t="s">
        <v>22</v>
      </c>
      <c r="N77" s="5">
        <v>38819</v>
      </c>
      <c r="O77" s="6">
        <v>46175</v>
      </c>
      <c r="P77" s="6">
        <f>O77+5</f>
        <v>46180</v>
      </c>
      <c r="Q77" s="7" t="s">
        <v>30</v>
      </c>
      <c r="R77" s="2" t="s">
        <v>281</v>
      </c>
      <c r="S77" s="3" t="s">
        <v>32</v>
      </c>
      <c r="T77" s="3">
        <v>212225</v>
      </c>
      <c r="U77" s="2" t="s">
        <v>33</v>
      </c>
      <c r="V77" s="3"/>
      <c r="W77" s="7">
        <v>9653581670</v>
      </c>
      <c r="X77" s="2" t="s">
        <v>24</v>
      </c>
    </row>
    <row r="78" spans="1:24" x14ac:dyDescent="0.3">
      <c r="A78" s="3" t="s">
        <v>507</v>
      </c>
      <c r="B78" s="9" t="s">
        <v>309</v>
      </c>
      <c r="C78" s="1">
        <v>55788</v>
      </c>
      <c r="D78" s="2" t="s">
        <v>310</v>
      </c>
      <c r="E78" s="3" t="s">
        <v>311</v>
      </c>
      <c r="F78" s="3" t="s">
        <v>28</v>
      </c>
      <c r="G78" s="4" t="s">
        <v>41</v>
      </c>
      <c r="H78" s="3"/>
      <c r="I78" s="3"/>
      <c r="J78" s="3"/>
      <c r="K78" s="3"/>
      <c r="L78" s="3"/>
      <c r="M78" s="3" t="s">
        <v>22</v>
      </c>
      <c r="N78" s="5">
        <v>37469</v>
      </c>
      <c r="O78" s="6">
        <v>46176</v>
      </c>
      <c r="P78" s="6">
        <f>O78+5</f>
        <v>46181</v>
      </c>
      <c r="Q78" s="7" t="s">
        <v>125</v>
      </c>
      <c r="R78" s="2" t="s">
        <v>126</v>
      </c>
      <c r="S78" s="3" t="s">
        <v>32</v>
      </c>
      <c r="T78" s="3">
        <v>284303</v>
      </c>
      <c r="U78" s="2" t="s">
        <v>33</v>
      </c>
      <c r="V78" s="3"/>
      <c r="W78" s="7">
        <v>9044566877</v>
      </c>
      <c r="X78" s="2" t="s">
        <v>24</v>
      </c>
    </row>
    <row r="79" spans="1:24" x14ac:dyDescent="0.3">
      <c r="A79" s="3" t="s">
        <v>508</v>
      </c>
      <c r="B79" s="9" t="s">
        <v>312</v>
      </c>
      <c r="C79" s="1">
        <v>42913</v>
      </c>
      <c r="D79" s="2" t="s">
        <v>313</v>
      </c>
      <c r="E79" s="3" t="s">
        <v>314</v>
      </c>
      <c r="F79" s="3" t="s">
        <v>28</v>
      </c>
      <c r="G79" s="4" t="s">
        <v>29</v>
      </c>
      <c r="H79" s="3"/>
      <c r="I79" s="3"/>
      <c r="J79" s="3"/>
      <c r="K79" s="3"/>
      <c r="L79" s="3"/>
      <c r="M79" s="3" t="s">
        <v>22</v>
      </c>
      <c r="N79" s="5">
        <v>37862</v>
      </c>
      <c r="O79" s="6">
        <v>46174</v>
      </c>
      <c r="P79" s="6">
        <f>O79+2</f>
        <v>46176</v>
      </c>
      <c r="Q79" s="7" t="s">
        <v>30</v>
      </c>
      <c r="R79" s="2" t="s">
        <v>281</v>
      </c>
      <c r="S79" s="3" t="s">
        <v>32</v>
      </c>
      <c r="T79" s="3">
        <v>222201</v>
      </c>
      <c r="U79" s="2" t="s">
        <v>37</v>
      </c>
      <c r="V79" s="3"/>
      <c r="W79" s="7">
        <v>8231879964</v>
      </c>
      <c r="X79" s="2" t="s">
        <v>24</v>
      </c>
    </row>
    <row r="80" spans="1:24" x14ac:dyDescent="0.3">
      <c r="A80" s="3" t="s">
        <v>508</v>
      </c>
      <c r="B80" s="9" t="s">
        <v>315</v>
      </c>
      <c r="C80" s="1">
        <v>42914</v>
      </c>
      <c r="D80" s="2" t="s">
        <v>242</v>
      </c>
      <c r="E80" s="3" t="s">
        <v>316</v>
      </c>
      <c r="F80" s="3" t="s">
        <v>28</v>
      </c>
      <c r="G80" s="4" t="s">
        <v>134</v>
      </c>
      <c r="H80" s="3" t="s">
        <v>305</v>
      </c>
      <c r="I80" s="3"/>
      <c r="J80" s="3"/>
      <c r="K80" s="3"/>
      <c r="L80" s="3"/>
      <c r="M80" s="3" t="s">
        <v>22</v>
      </c>
      <c r="N80" s="5">
        <v>38453</v>
      </c>
      <c r="O80" s="6">
        <v>46175</v>
      </c>
      <c r="P80" s="6">
        <f>O80+2</f>
        <v>46177</v>
      </c>
      <c r="Q80" s="7" t="s">
        <v>30</v>
      </c>
      <c r="R80" s="2" t="s">
        <v>317</v>
      </c>
      <c r="S80" s="3" t="s">
        <v>318</v>
      </c>
      <c r="T80" s="3">
        <v>176311</v>
      </c>
      <c r="U80" s="2" t="s">
        <v>33</v>
      </c>
      <c r="V80" s="3"/>
      <c r="W80" s="7">
        <v>9015933364</v>
      </c>
      <c r="X80" s="2" t="s">
        <v>24</v>
      </c>
    </row>
    <row r="81" spans="1:24" x14ac:dyDescent="0.3">
      <c r="A81" s="3" t="s">
        <v>508</v>
      </c>
      <c r="B81" s="9" t="s">
        <v>319</v>
      </c>
      <c r="C81" s="1">
        <v>42915</v>
      </c>
      <c r="D81" s="2" t="s">
        <v>320</v>
      </c>
      <c r="E81" s="3" t="s">
        <v>321</v>
      </c>
      <c r="F81" s="3" t="s">
        <v>28</v>
      </c>
      <c r="G81" s="4" t="s">
        <v>63</v>
      </c>
      <c r="H81" s="3"/>
      <c r="I81" s="3"/>
      <c r="J81" s="3"/>
      <c r="K81" s="3"/>
      <c r="L81" s="3"/>
      <c r="M81" s="3" t="s">
        <v>22</v>
      </c>
      <c r="N81" s="5">
        <v>38514</v>
      </c>
      <c r="O81" s="6">
        <v>46176</v>
      </c>
      <c r="P81" s="6">
        <f>O81+2</f>
        <v>46178</v>
      </c>
      <c r="Q81" s="7" t="s">
        <v>125</v>
      </c>
      <c r="R81" s="2" t="s">
        <v>139</v>
      </c>
      <c r="S81" s="3" t="s">
        <v>32</v>
      </c>
      <c r="T81" s="3">
        <v>272177</v>
      </c>
      <c r="U81" s="2" t="s">
        <v>33</v>
      </c>
      <c r="V81" s="3"/>
      <c r="W81" s="7">
        <v>9839263652</v>
      </c>
      <c r="X81" s="2" t="s">
        <v>24</v>
      </c>
    </row>
    <row r="82" spans="1:24" x14ac:dyDescent="0.3">
      <c r="A82" s="3" t="s">
        <v>509</v>
      </c>
      <c r="B82" s="9" t="s">
        <v>322</v>
      </c>
      <c r="C82" s="1">
        <v>27490</v>
      </c>
      <c r="D82" s="2" t="s">
        <v>323</v>
      </c>
      <c r="E82" s="3" t="s">
        <v>324</v>
      </c>
      <c r="F82" s="3" t="s">
        <v>28</v>
      </c>
      <c r="G82" s="4" t="s">
        <v>41</v>
      </c>
      <c r="H82" s="3"/>
      <c r="I82" s="3"/>
      <c r="J82" s="3"/>
      <c r="K82" s="3"/>
      <c r="L82" s="3"/>
      <c r="M82" s="3" t="s">
        <v>22</v>
      </c>
      <c r="N82" s="5">
        <v>37412</v>
      </c>
      <c r="O82" s="6">
        <v>46176</v>
      </c>
      <c r="P82" s="6">
        <f>O82+5</f>
        <v>46181</v>
      </c>
      <c r="Q82" s="7" t="s">
        <v>30</v>
      </c>
      <c r="R82" s="2" t="s">
        <v>325</v>
      </c>
      <c r="S82" s="3" t="s">
        <v>223</v>
      </c>
      <c r="T82" s="3">
        <v>322238</v>
      </c>
      <c r="U82" s="2" t="s">
        <v>33</v>
      </c>
      <c r="V82" s="3"/>
      <c r="W82" s="7">
        <v>8307615757</v>
      </c>
      <c r="X82" s="2" t="s">
        <v>24</v>
      </c>
    </row>
    <row r="83" spans="1:24" x14ac:dyDescent="0.3">
      <c r="A83" s="3" t="s">
        <v>510</v>
      </c>
      <c r="B83" s="9" t="s">
        <v>326</v>
      </c>
      <c r="C83" s="1">
        <v>96080</v>
      </c>
      <c r="D83" s="2" t="s">
        <v>327</v>
      </c>
      <c r="E83" s="3" t="s">
        <v>328</v>
      </c>
      <c r="F83" s="3" t="s">
        <v>28</v>
      </c>
      <c r="G83" s="4" t="s">
        <v>41</v>
      </c>
      <c r="H83" s="3"/>
      <c r="I83" s="3"/>
      <c r="J83" s="3"/>
      <c r="K83" s="3"/>
      <c r="L83" s="3"/>
      <c r="M83" s="3" t="s">
        <v>22</v>
      </c>
      <c r="N83" s="5">
        <v>37123</v>
      </c>
      <c r="O83" s="6">
        <v>46174</v>
      </c>
      <c r="P83" s="6">
        <f>O83+4</f>
        <v>46178</v>
      </c>
      <c r="Q83" s="7" t="s">
        <v>209</v>
      </c>
      <c r="R83" s="2" t="s">
        <v>147</v>
      </c>
      <c r="S83" s="3" t="s">
        <v>32</v>
      </c>
      <c r="T83" s="3">
        <v>212206</v>
      </c>
      <c r="U83" s="2" t="s">
        <v>83</v>
      </c>
      <c r="V83" s="3"/>
      <c r="W83" s="7">
        <v>8429651918</v>
      </c>
      <c r="X83" s="2" t="s">
        <v>24</v>
      </c>
    </row>
    <row r="84" spans="1:24" x14ac:dyDescent="0.3">
      <c r="A84" s="3" t="s">
        <v>510</v>
      </c>
      <c r="B84" s="9" t="s">
        <v>329</v>
      </c>
      <c r="C84" s="1">
        <v>96081</v>
      </c>
      <c r="D84" s="2" t="s">
        <v>330</v>
      </c>
      <c r="E84" s="3" t="s">
        <v>331</v>
      </c>
      <c r="F84" s="3" t="s">
        <v>28</v>
      </c>
      <c r="G84" s="4" t="s">
        <v>29</v>
      </c>
      <c r="H84" s="3"/>
      <c r="I84" s="3"/>
      <c r="J84" s="3"/>
      <c r="K84" s="3"/>
      <c r="L84" s="3"/>
      <c r="M84" s="3" t="s">
        <v>22</v>
      </c>
      <c r="N84" s="5">
        <v>37396</v>
      </c>
      <c r="O84" s="6">
        <v>46175</v>
      </c>
      <c r="P84" s="6">
        <f>O84+2</f>
        <v>46177</v>
      </c>
      <c r="Q84" s="7" t="s">
        <v>30</v>
      </c>
      <c r="R84" s="2" t="s">
        <v>31</v>
      </c>
      <c r="S84" s="3" t="s">
        <v>32</v>
      </c>
      <c r="T84" s="3">
        <v>273306</v>
      </c>
      <c r="U84" s="2" t="s">
        <v>37</v>
      </c>
      <c r="V84" s="3"/>
      <c r="W84" s="7">
        <v>8708946425</v>
      </c>
      <c r="X84" s="2" t="s">
        <v>24</v>
      </c>
    </row>
    <row r="85" spans="1:24" x14ac:dyDescent="0.3">
      <c r="A85" s="3" t="s">
        <v>511</v>
      </c>
      <c r="B85" s="9" t="s">
        <v>332</v>
      </c>
      <c r="C85" s="1">
        <v>46537</v>
      </c>
      <c r="D85" s="2" t="s">
        <v>333</v>
      </c>
      <c r="E85" s="3" t="s">
        <v>334</v>
      </c>
      <c r="F85" s="3" t="s">
        <v>28</v>
      </c>
      <c r="G85" s="4" t="s">
        <v>29</v>
      </c>
      <c r="H85" s="3"/>
      <c r="I85" s="3"/>
      <c r="J85" s="3"/>
      <c r="K85" s="3"/>
      <c r="L85" s="3"/>
      <c r="M85" s="3" t="s">
        <v>22</v>
      </c>
      <c r="N85" s="5">
        <v>38056</v>
      </c>
      <c r="O85" s="6">
        <v>46174</v>
      </c>
      <c r="P85" s="6">
        <f>O85+2</f>
        <v>46176</v>
      </c>
      <c r="Q85" s="7" t="s">
        <v>30</v>
      </c>
      <c r="R85" s="2" t="s">
        <v>53</v>
      </c>
      <c r="S85" s="3" t="s">
        <v>32</v>
      </c>
      <c r="T85" s="3">
        <v>229129</v>
      </c>
      <c r="U85" s="2" t="s">
        <v>83</v>
      </c>
      <c r="V85" s="3"/>
      <c r="W85" s="7">
        <v>8448814554</v>
      </c>
      <c r="X85" s="2" t="s">
        <v>24</v>
      </c>
    </row>
    <row r="86" spans="1:24" x14ac:dyDescent="0.3">
      <c r="A86" s="3" t="s">
        <v>511</v>
      </c>
      <c r="B86" s="9" t="s">
        <v>335</v>
      </c>
      <c r="C86" s="1">
        <v>46541</v>
      </c>
      <c r="D86" s="2" t="s">
        <v>336</v>
      </c>
      <c r="E86" s="3" t="s">
        <v>337</v>
      </c>
      <c r="F86" s="3" t="s">
        <v>28</v>
      </c>
      <c r="G86" s="4" t="s">
        <v>41</v>
      </c>
      <c r="H86" s="3"/>
      <c r="I86" s="3"/>
      <c r="J86" s="3"/>
      <c r="K86" s="3"/>
      <c r="L86" s="3"/>
      <c r="M86" s="3" t="s">
        <v>22</v>
      </c>
      <c r="N86" s="5">
        <v>39175</v>
      </c>
      <c r="O86" s="6">
        <v>46175</v>
      </c>
      <c r="P86" s="6">
        <f>O86+5</f>
        <v>46180</v>
      </c>
      <c r="Q86" s="7" t="s">
        <v>30</v>
      </c>
      <c r="R86" s="2" t="s">
        <v>338</v>
      </c>
      <c r="S86" s="3" t="s">
        <v>223</v>
      </c>
      <c r="T86" s="3">
        <v>311201</v>
      </c>
      <c r="U86" s="2" t="s">
        <v>37</v>
      </c>
      <c r="V86" s="3"/>
      <c r="W86" s="7">
        <v>7877254154</v>
      </c>
      <c r="X86" s="2" t="s">
        <v>24</v>
      </c>
    </row>
    <row r="87" spans="1:24" x14ac:dyDescent="0.3">
      <c r="A87" s="3" t="s">
        <v>511</v>
      </c>
      <c r="B87" s="9" t="s">
        <v>339</v>
      </c>
      <c r="C87" s="1">
        <v>46542</v>
      </c>
      <c r="D87" s="2" t="s">
        <v>340</v>
      </c>
      <c r="E87" s="3" t="s">
        <v>341</v>
      </c>
      <c r="F87" s="3" t="s">
        <v>28</v>
      </c>
      <c r="G87" s="4" t="s">
        <v>29</v>
      </c>
      <c r="H87" s="3"/>
      <c r="I87" s="3"/>
      <c r="J87" s="3"/>
      <c r="K87" s="3"/>
      <c r="L87" s="3"/>
      <c r="M87" s="3" t="s">
        <v>22</v>
      </c>
      <c r="N87" s="5">
        <v>38738</v>
      </c>
      <c r="O87" s="6">
        <v>46176</v>
      </c>
      <c r="P87" s="6">
        <f>O87+2</f>
        <v>46178</v>
      </c>
      <c r="Q87" s="7" t="s">
        <v>30</v>
      </c>
      <c r="R87" s="2" t="s">
        <v>342</v>
      </c>
      <c r="S87" s="3" t="s">
        <v>32</v>
      </c>
      <c r="T87" s="3">
        <v>275305</v>
      </c>
      <c r="U87" s="2" t="s">
        <v>33</v>
      </c>
      <c r="V87" s="3"/>
      <c r="W87" s="7">
        <v>7525951197</v>
      </c>
      <c r="X87" s="2" t="s">
        <v>24</v>
      </c>
    </row>
    <row r="88" spans="1:24" x14ac:dyDescent="0.3">
      <c r="A88" t="s">
        <v>498</v>
      </c>
      <c r="B88" s="9" t="s">
        <v>343</v>
      </c>
      <c r="C88" s="1">
        <v>67982</v>
      </c>
      <c r="D88" s="2" t="s">
        <v>344</v>
      </c>
      <c r="E88" s="3" t="s">
        <v>345</v>
      </c>
      <c r="F88" s="2" t="s">
        <v>346</v>
      </c>
      <c r="G88" s="4" t="s">
        <v>208</v>
      </c>
      <c r="H88" s="3"/>
      <c r="I88" s="3"/>
      <c r="J88" s="3"/>
      <c r="K88" s="3"/>
      <c r="L88" s="3"/>
      <c r="M88" s="3" t="s">
        <v>347</v>
      </c>
      <c r="N88" s="5">
        <v>34700</v>
      </c>
      <c r="O88" s="6">
        <v>46177</v>
      </c>
      <c r="P88" s="6">
        <f>O88+3</f>
        <v>46180</v>
      </c>
      <c r="Q88" s="7" t="s">
        <v>348</v>
      </c>
      <c r="R88" s="2" t="s">
        <v>43</v>
      </c>
      <c r="S88" s="3" t="s">
        <v>32</v>
      </c>
      <c r="T88" s="3">
        <v>224181</v>
      </c>
      <c r="U88" s="2" t="s">
        <v>37</v>
      </c>
      <c r="V88" s="3"/>
      <c r="W88" s="7">
        <v>8076746884</v>
      </c>
      <c r="X88" s="2" t="s">
        <v>24</v>
      </c>
    </row>
    <row r="89" spans="1:24" x14ac:dyDescent="0.3">
      <c r="A89" s="3" t="s">
        <v>512</v>
      </c>
      <c r="B89" s="9" t="s">
        <v>349</v>
      </c>
      <c r="C89" s="1">
        <v>11741</v>
      </c>
      <c r="D89" s="2" t="s">
        <v>350</v>
      </c>
      <c r="E89" s="3" t="s">
        <v>351</v>
      </c>
      <c r="F89" s="3" t="s">
        <v>28</v>
      </c>
      <c r="G89" s="4" t="s">
        <v>41</v>
      </c>
      <c r="H89" s="3"/>
      <c r="I89" s="3"/>
      <c r="J89" s="3"/>
      <c r="K89" s="3"/>
      <c r="L89" s="3"/>
      <c r="M89" s="3" t="s">
        <v>22</v>
      </c>
      <c r="N89" s="5">
        <v>37372</v>
      </c>
      <c r="O89" s="6">
        <v>46176</v>
      </c>
      <c r="P89" s="6">
        <f t="shared" ref="P89:P107" si="16">O89+5</f>
        <v>46181</v>
      </c>
      <c r="Q89" s="7" t="s">
        <v>125</v>
      </c>
      <c r="R89" s="2" t="s">
        <v>31</v>
      </c>
      <c r="S89" s="3" t="s">
        <v>32</v>
      </c>
      <c r="T89" s="3">
        <v>273165</v>
      </c>
      <c r="U89" s="2" t="s">
        <v>33</v>
      </c>
      <c r="V89" s="3"/>
      <c r="W89" s="7">
        <v>7652019940</v>
      </c>
      <c r="X89" s="2" t="s">
        <v>24</v>
      </c>
    </row>
    <row r="90" spans="1:24" x14ac:dyDescent="0.3">
      <c r="A90" s="3" t="s">
        <v>512</v>
      </c>
      <c r="B90" s="9" t="s">
        <v>352</v>
      </c>
      <c r="C90" s="1">
        <v>11742</v>
      </c>
      <c r="D90" s="2" t="s">
        <v>353</v>
      </c>
      <c r="E90" s="3" t="s">
        <v>354</v>
      </c>
      <c r="F90" s="3" t="s">
        <v>28</v>
      </c>
      <c r="G90" s="4" t="s">
        <v>41</v>
      </c>
      <c r="H90" s="3"/>
      <c r="I90" s="3"/>
      <c r="J90" s="3"/>
      <c r="K90" s="3"/>
      <c r="L90" s="3"/>
      <c r="M90" s="3" t="s">
        <v>22</v>
      </c>
      <c r="N90" s="5">
        <v>38353</v>
      </c>
      <c r="O90" s="6">
        <v>46176</v>
      </c>
      <c r="P90" s="6">
        <f t="shared" si="16"/>
        <v>46181</v>
      </c>
      <c r="Q90" s="7" t="s">
        <v>125</v>
      </c>
      <c r="R90" s="2" t="s">
        <v>31</v>
      </c>
      <c r="S90" s="3" t="s">
        <v>32</v>
      </c>
      <c r="T90" s="3">
        <v>273015</v>
      </c>
      <c r="U90" s="2" t="s">
        <v>33</v>
      </c>
      <c r="V90" s="3"/>
      <c r="W90" s="7">
        <v>8115558048</v>
      </c>
      <c r="X90" s="2" t="s">
        <v>24</v>
      </c>
    </row>
    <row r="91" spans="1:24" x14ac:dyDescent="0.3">
      <c r="A91" s="3" t="s">
        <v>512</v>
      </c>
      <c r="B91" s="9" t="s">
        <v>355</v>
      </c>
      <c r="C91" s="1">
        <v>11743</v>
      </c>
      <c r="D91" s="2" t="s">
        <v>356</v>
      </c>
      <c r="E91" s="3" t="s">
        <v>357</v>
      </c>
      <c r="F91" s="3" t="s">
        <v>28</v>
      </c>
      <c r="G91" s="4" t="s">
        <v>41</v>
      </c>
      <c r="H91" s="3"/>
      <c r="I91" s="3"/>
      <c r="J91" s="3"/>
      <c r="K91" s="3"/>
      <c r="L91" s="3"/>
      <c r="M91" s="3" t="s">
        <v>22</v>
      </c>
      <c r="N91" s="5">
        <v>37021</v>
      </c>
      <c r="O91" s="6">
        <v>46176</v>
      </c>
      <c r="P91" s="6">
        <f t="shared" si="16"/>
        <v>46181</v>
      </c>
      <c r="Q91" s="7" t="s">
        <v>125</v>
      </c>
      <c r="R91" s="2" t="s">
        <v>31</v>
      </c>
      <c r="S91" s="3" t="s">
        <v>32</v>
      </c>
      <c r="T91" s="3">
        <v>273403</v>
      </c>
      <c r="U91" s="2" t="s">
        <v>33</v>
      </c>
      <c r="V91" s="3"/>
      <c r="W91" s="7">
        <v>7521996279</v>
      </c>
      <c r="X91" s="2" t="s">
        <v>24</v>
      </c>
    </row>
    <row r="92" spans="1:24" x14ac:dyDescent="0.3">
      <c r="A92" s="3" t="s">
        <v>512</v>
      </c>
      <c r="B92" s="9" t="s">
        <v>358</v>
      </c>
      <c r="C92" s="1">
        <v>11744</v>
      </c>
      <c r="D92" s="2" t="s">
        <v>359</v>
      </c>
      <c r="E92" s="3" t="s">
        <v>59</v>
      </c>
      <c r="F92" s="3" t="s">
        <v>28</v>
      </c>
      <c r="G92" s="4" t="s">
        <v>41</v>
      </c>
      <c r="H92" s="3"/>
      <c r="I92" s="3"/>
      <c r="J92" s="3"/>
      <c r="K92" s="3"/>
      <c r="L92" s="3"/>
      <c r="M92" s="3" t="s">
        <v>22</v>
      </c>
      <c r="N92" s="5">
        <v>37735</v>
      </c>
      <c r="O92" s="6">
        <v>46176</v>
      </c>
      <c r="P92" s="6">
        <f t="shared" si="16"/>
        <v>46181</v>
      </c>
      <c r="Q92" s="7" t="s">
        <v>125</v>
      </c>
      <c r="R92" s="2" t="s">
        <v>31</v>
      </c>
      <c r="S92" s="3" t="s">
        <v>32</v>
      </c>
      <c r="T92" s="3">
        <v>273015</v>
      </c>
      <c r="U92" s="2" t="s">
        <v>33</v>
      </c>
      <c r="V92" s="3"/>
      <c r="W92" s="7">
        <v>7897682926</v>
      </c>
      <c r="X92" s="2" t="s">
        <v>24</v>
      </c>
    </row>
    <row r="93" spans="1:24" x14ac:dyDescent="0.3">
      <c r="A93" s="3" t="s">
        <v>512</v>
      </c>
      <c r="B93" s="9" t="s">
        <v>360</v>
      </c>
      <c r="C93" s="1">
        <v>11745</v>
      </c>
      <c r="D93" s="2" t="s">
        <v>361</v>
      </c>
      <c r="E93" s="3" t="s">
        <v>357</v>
      </c>
      <c r="F93" s="3" t="s">
        <v>28</v>
      </c>
      <c r="G93" s="4" t="s">
        <v>41</v>
      </c>
      <c r="H93" s="3"/>
      <c r="I93" s="3"/>
      <c r="J93" s="3"/>
      <c r="K93" s="3"/>
      <c r="L93" s="3"/>
      <c r="M93" s="3" t="s">
        <v>22</v>
      </c>
      <c r="N93" s="5">
        <v>36657</v>
      </c>
      <c r="O93" s="6">
        <v>46176</v>
      </c>
      <c r="P93" s="6">
        <f t="shared" si="16"/>
        <v>46181</v>
      </c>
      <c r="Q93" s="7" t="s">
        <v>125</v>
      </c>
      <c r="R93" s="2" t="s">
        <v>31</v>
      </c>
      <c r="S93" s="3" t="s">
        <v>32</v>
      </c>
      <c r="T93" s="3">
        <v>273403</v>
      </c>
      <c r="U93" s="2" t="s">
        <v>33</v>
      </c>
      <c r="V93" s="3"/>
      <c r="W93" s="7">
        <v>9580056541</v>
      </c>
      <c r="X93" s="2" t="s">
        <v>24</v>
      </c>
    </row>
    <row r="94" spans="1:24" x14ac:dyDescent="0.3">
      <c r="A94" s="3" t="s">
        <v>512</v>
      </c>
      <c r="B94" s="9" t="s">
        <v>362</v>
      </c>
      <c r="C94" s="1">
        <v>11746</v>
      </c>
      <c r="D94" s="2" t="s">
        <v>363</v>
      </c>
      <c r="E94" s="3" t="s">
        <v>364</v>
      </c>
      <c r="F94" s="3" t="s">
        <v>28</v>
      </c>
      <c r="G94" s="4" t="s">
        <v>41</v>
      </c>
      <c r="H94" s="3"/>
      <c r="I94" s="3"/>
      <c r="J94" s="3"/>
      <c r="K94" s="3"/>
      <c r="L94" s="3"/>
      <c r="M94" s="3" t="s">
        <v>22</v>
      </c>
      <c r="N94" s="5">
        <v>38888</v>
      </c>
      <c r="O94" s="6">
        <v>46176</v>
      </c>
      <c r="P94" s="6">
        <f t="shared" si="16"/>
        <v>46181</v>
      </c>
      <c r="Q94" s="7" t="s">
        <v>23</v>
      </c>
      <c r="R94" s="2" t="s">
        <v>31</v>
      </c>
      <c r="S94" s="3" t="s">
        <v>32</v>
      </c>
      <c r="T94" s="3">
        <v>273015</v>
      </c>
      <c r="U94" s="2" t="s">
        <v>33</v>
      </c>
      <c r="V94" s="3"/>
      <c r="W94" s="7">
        <v>7985140662</v>
      </c>
      <c r="X94" s="2" t="s">
        <v>24</v>
      </c>
    </row>
    <row r="95" spans="1:24" x14ac:dyDescent="0.3">
      <c r="A95" s="3" t="s">
        <v>512</v>
      </c>
      <c r="B95" s="9" t="s">
        <v>365</v>
      </c>
      <c r="C95" s="1">
        <v>11747</v>
      </c>
      <c r="D95" s="2" t="s">
        <v>366</v>
      </c>
      <c r="E95" s="3" t="s">
        <v>367</v>
      </c>
      <c r="F95" s="3" t="s">
        <v>28</v>
      </c>
      <c r="G95" s="4" t="s">
        <v>41</v>
      </c>
      <c r="H95" s="3"/>
      <c r="I95" s="3"/>
      <c r="J95" s="3"/>
      <c r="K95" s="3"/>
      <c r="L95" s="3"/>
      <c r="M95" s="3" t="s">
        <v>22</v>
      </c>
      <c r="N95" s="5">
        <v>37687</v>
      </c>
      <c r="O95" s="6">
        <v>46176</v>
      </c>
      <c r="P95" s="6">
        <f t="shared" si="16"/>
        <v>46181</v>
      </c>
      <c r="Q95" s="7" t="s">
        <v>23</v>
      </c>
      <c r="R95" s="2" t="s">
        <v>31</v>
      </c>
      <c r="S95" s="3" t="s">
        <v>32</v>
      </c>
      <c r="T95" s="3">
        <v>273015</v>
      </c>
      <c r="U95" s="2" t="s">
        <v>33</v>
      </c>
      <c r="V95" s="3"/>
      <c r="W95" s="7">
        <v>6388821594</v>
      </c>
      <c r="X95" s="2" t="s">
        <v>24</v>
      </c>
    </row>
    <row r="96" spans="1:24" x14ac:dyDescent="0.3">
      <c r="A96" s="3" t="s">
        <v>512</v>
      </c>
      <c r="B96" s="9" t="s">
        <v>368</v>
      </c>
      <c r="C96" s="1">
        <v>11748</v>
      </c>
      <c r="D96" s="2" t="s">
        <v>369</v>
      </c>
      <c r="E96" s="3" t="s">
        <v>370</v>
      </c>
      <c r="F96" s="3" t="s">
        <v>28</v>
      </c>
      <c r="G96" s="4" t="s">
        <v>41</v>
      </c>
      <c r="H96" s="3"/>
      <c r="I96" s="3"/>
      <c r="J96" s="3"/>
      <c r="K96" s="3"/>
      <c r="L96" s="3"/>
      <c r="M96" s="3" t="s">
        <v>22</v>
      </c>
      <c r="N96" s="5">
        <v>37124</v>
      </c>
      <c r="O96" s="6">
        <v>46176</v>
      </c>
      <c r="P96" s="6">
        <f t="shared" si="16"/>
        <v>46181</v>
      </c>
      <c r="Q96" s="7" t="s">
        <v>30</v>
      </c>
      <c r="R96" s="2" t="s">
        <v>31</v>
      </c>
      <c r="S96" s="3" t="s">
        <v>32</v>
      </c>
      <c r="T96" s="3">
        <v>273015</v>
      </c>
      <c r="U96" s="2" t="s">
        <v>33</v>
      </c>
      <c r="V96" s="3"/>
      <c r="W96" s="7">
        <v>6386166816</v>
      </c>
      <c r="X96" s="2" t="s">
        <v>24</v>
      </c>
    </row>
    <row r="97" spans="1:24" x14ac:dyDescent="0.3">
      <c r="A97" s="3" t="s">
        <v>512</v>
      </c>
      <c r="B97" s="9" t="s">
        <v>371</v>
      </c>
      <c r="C97" s="1">
        <v>11749</v>
      </c>
      <c r="D97" s="2" t="s">
        <v>372</v>
      </c>
      <c r="E97" s="3" t="s">
        <v>373</v>
      </c>
      <c r="F97" s="3" t="s">
        <v>28</v>
      </c>
      <c r="G97" s="4" t="s">
        <v>41</v>
      </c>
      <c r="H97" s="3"/>
      <c r="I97" s="3"/>
      <c r="J97" s="3"/>
      <c r="K97" s="3"/>
      <c r="L97" s="3"/>
      <c r="M97" s="3" t="s">
        <v>22</v>
      </c>
      <c r="N97" s="5">
        <v>35612</v>
      </c>
      <c r="O97" s="6">
        <v>46177</v>
      </c>
      <c r="P97" s="6">
        <f t="shared" si="16"/>
        <v>46182</v>
      </c>
      <c r="Q97" s="7" t="s">
        <v>109</v>
      </c>
      <c r="R97" s="2" t="s">
        <v>31</v>
      </c>
      <c r="S97" s="3" t="s">
        <v>32</v>
      </c>
      <c r="T97" s="3">
        <v>273212</v>
      </c>
      <c r="U97" s="2" t="s">
        <v>83</v>
      </c>
      <c r="V97" s="3"/>
      <c r="W97" s="7">
        <v>7398736907</v>
      </c>
      <c r="X97" s="2" t="s">
        <v>24</v>
      </c>
    </row>
    <row r="98" spans="1:24" x14ac:dyDescent="0.3">
      <c r="A98" s="3" t="s">
        <v>512</v>
      </c>
      <c r="B98" s="9" t="s">
        <v>374</v>
      </c>
      <c r="C98" s="1">
        <v>11750</v>
      </c>
      <c r="D98" s="2" t="s">
        <v>375</v>
      </c>
      <c r="E98" s="3" t="s">
        <v>376</v>
      </c>
      <c r="F98" s="3" t="s">
        <v>28</v>
      </c>
      <c r="G98" s="4" t="s">
        <v>41</v>
      </c>
      <c r="H98" s="3"/>
      <c r="I98" s="3"/>
      <c r="J98" s="3"/>
      <c r="K98" s="3"/>
      <c r="L98" s="3"/>
      <c r="M98" s="3" t="s">
        <v>22</v>
      </c>
      <c r="N98" s="5">
        <v>39158</v>
      </c>
      <c r="O98" s="6">
        <v>46177</v>
      </c>
      <c r="P98" s="6">
        <f t="shared" si="16"/>
        <v>46182</v>
      </c>
      <c r="Q98" s="7" t="s">
        <v>104</v>
      </c>
      <c r="R98" s="2" t="s">
        <v>266</v>
      </c>
      <c r="S98" s="3" t="s">
        <v>88</v>
      </c>
      <c r="T98" s="3">
        <v>841238</v>
      </c>
      <c r="U98" s="2" t="s">
        <v>33</v>
      </c>
      <c r="V98" s="3"/>
      <c r="W98" s="7">
        <v>9546260071</v>
      </c>
      <c r="X98" s="2" t="s">
        <v>24</v>
      </c>
    </row>
    <row r="99" spans="1:24" x14ac:dyDescent="0.3">
      <c r="A99" s="3" t="s">
        <v>512</v>
      </c>
      <c r="B99" s="9" t="s">
        <v>377</v>
      </c>
      <c r="C99" s="1">
        <v>11751</v>
      </c>
      <c r="D99" s="2" t="s">
        <v>378</v>
      </c>
      <c r="E99" s="3" t="s">
        <v>379</v>
      </c>
      <c r="F99" s="3" t="s">
        <v>28</v>
      </c>
      <c r="G99" s="4" t="s">
        <v>41</v>
      </c>
      <c r="H99" s="3"/>
      <c r="I99" s="3"/>
      <c r="J99" s="3"/>
      <c r="K99" s="3"/>
      <c r="L99" s="3"/>
      <c r="M99" s="3" t="s">
        <v>22</v>
      </c>
      <c r="N99" s="5">
        <v>36220</v>
      </c>
      <c r="O99" s="6">
        <v>46177</v>
      </c>
      <c r="P99" s="6">
        <f t="shared" si="16"/>
        <v>46182</v>
      </c>
      <c r="Q99" s="7" t="s">
        <v>109</v>
      </c>
      <c r="R99" s="2" t="s">
        <v>161</v>
      </c>
      <c r="S99" s="3" t="s">
        <v>32</v>
      </c>
      <c r="T99" s="3">
        <v>273302</v>
      </c>
      <c r="U99" s="2" t="s">
        <v>37</v>
      </c>
      <c r="V99" s="3"/>
      <c r="W99" s="7">
        <v>9815668785</v>
      </c>
      <c r="X99" s="2" t="s">
        <v>24</v>
      </c>
    </row>
    <row r="100" spans="1:24" x14ac:dyDescent="0.3">
      <c r="A100" s="3" t="s">
        <v>512</v>
      </c>
      <c r="B100" s="9" t="s">
        <v>380</v>
      </c>
      <c r="C100" s="1">
        <v>11752</v>
      </c>
      <c r="D100" s="2" t="s">
        <v>381</v>
      </c>
      <c r="E100" s="3" t="s">
        <v>382</v>
      </c>
      <c r="F100" s="3" t="s">
        <v>28</v>
      </c>
      <c r="G100" s="4" t="s">
        <v>41</v>
      </c>
      <c r="H100" s="3"/>
      <c r="I100" s="3"/>
      <c r="J100" s="3"/>
      <c r="K100" s="3"/>
      <c r="L100" s="3"/>
      <c r="M100" s="3" t="s">
        <v>22</v>
      </c>
      <c r="N100" s="5">
        <v>39287</v>
      </c>
      <c r="O100" s="6">
        <v>46177</v>
      </c>
      <c r="P100" s="6">
        <f t="shared" si="16"/>
        <v>46182</v>
      </c>
      <c r="Q100" s="7" t="s">
        <v>104</v>
      </c>
      <c r="R100" s="2" t="s">
        <v>383</v>
      </c>
      <c r="S100" s="3" t="s">
        <v>32</v>
      </c>
      <c r="T100" s="3">
        <v>206122</v>
      </c>
      <c r="U100" s="2" t="s">
        <v>111</v>
      </c>
      <c r="V100" s="3"/>
      <c r="W100" s="7">
        <v>9720335621</v>
      </c>
      <c r="X100" s="2" t="s">
        <v>24</v>
      </c>
    </row>
    <row r="101" spans="1:24" x14ac:dyDescent="0.3">
      <c r="A101" s="3" t="s">
        <v>512</v>
      </c>
      <c r="B101" s="9" t="s">
        <v>384</v>
      </c>
      <c r="C101" s="1">
        <v>11753</v>
      </c>
      <c r="D101" s="2" t="s">
        <v>385</v>
      </c>
      <c r="E101" s="3" t="s">
        <v>386</v>
      </c>
      <c r="F101" s="3" t="s">
        <v>28</v>
      </c>
      <c r="G101" s="4" t="s">
        <v>41</v>
      </c>
      <c r="H101" s="3"/>
      <c r="I101" s="3"/>
      <c r="J101" s="3"/>
      <c r="K101" s="3"/>
      <c r="L101" s="3"/>
      <c r="M101" s="3" t="s">
        <v>22</v>
      </c>
      <c r="N101" s="5">
        <v>37622</v>
      </c>
      <c r="O101" s="6">
        <v>46177</v>
      </c>
      <c r="P101" s="6">
        <f t="shared" si="16"/>
        <v>46182</v>
      </c>
      <c r="Q101" s="7" t="s">
        <v>104</v>
      </c>
      <c r="R101" s="2" t="s">
        <v>71</v>
      </c>
      <c r="S101" s="3" t="s">
        <v>32</v>
      </c>
      <c r="T101" s="3">
        <v>209206</v>
      </c>
      <c r="U101" s="2" t="s">
        <v>111</v>
      </c>
      <c r="V101" s="3"/>
      <c r="W101" s="7">
        <v>6306389893</v>
      </c>
      <c r="X101" s="2" t="s">
        <v>24</v>
      </c>
    </row>
    <row r="102" spans="1:24" x14ac:dyDescent="0.3">
      <c r="A102" s="3" t="s">
        <v>512</v>
      </c>
      <c r="B102" s="9" t="s">
        <v>387</v>
      </c>
      <c r="C102" s="1">
        <v>11754</v>
      </c>
      <c r="D102" s="2" t="s">
        <v>388</v>
      </c>
      <c r="E102" s="3" t="s">
        <v>389</v>
      </c>
      <c r="F102" s="3" t="s">
        <v>28</v>
      </c>
      <c r="G102" s="4" t="s">
        <v>41</v>
      </c>
      <c r="H102" s="3"/>
      <c r="I102" s="3"/>
      <c r="J102" s="3"/>
      <c r="K102" s="3"/>
      <c r="L102" s="3"/>
      <c r="M102" s="3" t="s">
        <v>22</v>
      </c>
      <c r="N102" s="5">
        <v>39083</v>
      </c>
      <c r="O102" s="6">
        <v>46177</v>
      </c>
      <c r="P102" s="6">
        <f t="shared" si="16"/>
        <v>46182</v>
      </c>
      <c r="Q102" s="7" t="s">
        <v>109</v>
      </c>
      <c r="R102" s="2" t="s">
        <v>383</v>
      </c>
      <c r="S102" s="3" t="s">
        <v>32</v>
      </c>
      <c r="T102" s="3">
        <v>206122</v>
      </c>
      <c r="U102" s="2" t="s">
        <v>111</v>
      </c>
      <c r="V102" s="3"/>
      <c r="W102" s="7">
        <v>7830818034</v>
      </c>
      <c r="X102" s="2" t="s">
        <v>24</v>
      </c>
    </row>
    <row r="103" spans="1:24" x14ac:dyDescent="0.3">
      <c r="A103" s="3" t="s">
        <v>513</v>
      </c>
      <c r="B103" s="9" t="s">
        <v>390</v>
      </c>
      <c r="C103" s="1">
        <v>87179</v>
      </c>
      <c r="D103" s="2" t="s">
        <v>391</v>
      </c>
      <c r="E103" s="3" t="s">
        <v>392</v>
      </c>
      <c r="F103" s="3" t="s">
        <v>28</v>
      </c>
      <c r="G103" s="4" t="s">
        <v>41</v>
      </c>
      <c r="H103" s="3"/>
      <c r="I103" s="3"/>
      <c r="J103" s="3"/>
      <c r="K103" s="3"/>
      <c r="L103" s="3"/>
      <c r="M103" s="3" t="s">
        <v>22</v>
      </c>
      <c r="N103" s="5">
        <v>36349</v>
      </c>
      <c r="O103" s="6">
        <v>46177</v>
      </c>
      <c r="P103" s="6">
        <f t="shared" si="16"/>
        <v>46182</v>
      </c>
      <c r="Q103" s="7" t="s">
        <v>109</v>
      </c>
      <c r="R103" s="2" t="s">
        <v>157</v>
      </c>
      <c r="S103" s="3" t="s">
        <v>32</v>
      </c>
      <c r="T103" s="3">
        <v>225413</v>
      </c>
      <c r="U103" s="2" t="s">
        <v>33</v>
      </c>
      <c r="V103" s="3"/>
      <c r="W103" s="7">
        <v>8922831781</v>
      </c>
      <c r="X103" s="2" t="s">
        <v>24</v>
      </c>
    </row>
    <row r="104" spans="1:24" x14ac:dyDescent="0.3">
      <c r="A104" s="3" t="s">
        <v>513</v>
      </c>
      <c r="B104" s="9" t="s">
        <v>393</v>
      </c>
      <c r="C104" s="1">
        <v>87180</v>
      </c>
      <c r="D104" s="2" t="s">
        <v>394</v>
      </c>
      <c r="E104" s="3" t="s">
        <v>395</v>
      </c>
      <c r="F104" s="3" t="s">
        <v>28</v>
      </c>
      <c r="G104" s="4" t="s">
        <v>41</v>
      </c>
      <c r="H104" s="3"/>
      <c r="I104" s="3"/>
      <c r="J104" s="3"/>
      <c r="K104" s="3"/>
      <c r="L104" s="3"/>
      <c r="M104" s="3" t="s">
        <v>22</v>
      </c>
      <c r="N104" s="5">
        <v>39448</v>
      </c>
      <c r="O104" s="6">
        <v>46177</v>
      </c>
      <c r="P104" s="6">
        <f t="shared" si="16"/>
        <v>46182</v>
      </c>
      <c r="Q104" s="7" t="s">
        <v>109</v>
      </c>
      <c r="R104" s="2" t="s">
        <v>110</v>
      </c>
      <c r="S104" s="3" t="s">
        <v>32</v>
      </c>
      <c r="T104" s="3">
        <v>276001</v>
      </c>
      <c r="U104" s="2" t="s">
        <v>33</v>
      </c>
      <c r="V104" s="3"/>
      <c r="W104" s="7">
        <v>9140710148</v>
      </c>
      <c r="X104" s="2" t="s">
        <v>24</v>
      </c>
    </row>
    <row r="105" spans="1:24" x14ac:dyDescent="0.3">
      <c r="A105" s="3" t="s">
        <v>513</v>
      </c>
      <c r="B105" s="9" t="s">
        <v>396</v>
      </c>
      <c r="C105" s="1">
        <v>87181</v>
      </c>
      <c r="D105" s="2" t="s">
        <v>397</v>
      </c>
      <c r="E105" s="3" t="s">
        <v>398</v>
      </c>
      <c r="F105" s="3" t="s">
        <v>28</v>
      </c>
      <c r="G105" s="4" t="s">
        <v>41</v>
      </c>
      <c r="H105" s="3"/>
      <c r="I105" s="3"/>
      <c r="J105" s="3"/>
      <c r="K105" s="3"/>
      <c r="L105" s="3"/>
      <c r="M105" s="3" t="s">
        <v>22</v>
      </c>
      <c r="N105" s="5">
        <v>39083</v>
      </c>
      <c r="O105" s="6">
        <v>46177</v>
      </c>
      <c r="P105" s="6">
        <f t="shared" si="16"/>
        <v>46182</v>
      </c>
      <c r="Q105" s="7" t="s">
        <v>109</v>
      </c>
      <c r="R105" s="2" t="s">
        <v>43</v>
      </c>
      <c r="S105" s="3" t="s">
        <v>32</v>
      </c>
      <c r="T105" s="3">
        <v>224186</v>
      </c>
      <c r="U105" s="2" t="s">
        <v>399</v>
      </c>
      <c r="V105" s="3"/>
      <c r="W105" s="7">
        <v>9506851356</v>
      </c>
      <c r="X105" s="2" t="s">
        <v>24</v>
      </c>
    </row>
    <row r="106" spans="1:24" x14ac:dyDescent="0.3">
      <c r="A106" s="3" t="s">
        <v>513</v>
      </c>
      <c r="B106" s="9" t="s">
        <v>400</v>
      </c>
      <c r="C106" s="1">
        <v>87182</v>
      </c>
      <c r="D106" s="2" t="s">
        <v>401</v>
      </c>
      <c r="E106" s="3" t="s">
        <v>402</v>
      </c>
      <c r="F106" s="3" t="s">
        <v>28</v>
      </c>
      <c r="G106" s="4" t="s">
        <v>41</v>
      </c>
      <c r="H106" s="3"/>
      <c r="I106" s="3"/>
      <c r="J106" s="3"/>
      <c r="K106" s="3"/>
      <c r="L106" s="3"/>
      <c r="M106" s="3" t="s">
        <v>22</v>
      </c>
      <c r="N106" s="5">
        <v>36875</v>
      </c>
      <c r="O106" s="6">
        <v>46177</v>
      </c>
      <c r="P106" s="6">
        <f t="shared" si="16"/>
        <v>46182</v>
      </c>
      <c r="Q106" s="7" t="s">
        <v>104</v>
      </c>
      <c r="R106" s="2" t="s">
        <v>43</v>
      </c>
      <c r="S106" s="3" t="s">
        <v>32</v>
      </c>
      <c r="T106" s="3">
        <v>224190</v>
      </c>
      <c r="U106" s="2" t="s">
        <v>399</v>
      </c>
      <c r="V106" s="3"/>
      <c r="W106" s="7">
        <v>6306741871</v>
      </c>
      <c r="X106" s="2" t="s">
        <v>24</v>
      </c>
    </row>
    <row r="107" spans="1:24" x14ac:dyDescent="0.3">
      <c r="A107" s="3" t="s">
        <v>513</v>
      </c>
      <c r="B107" s="9" t="s">
        <v>403</v>
      </c>
      <c r="C107" s="1">
        <v>87183</v>
      </c>
      <c r="D107" s="2" t="s">
        <v>404</v>
      </c>
      <c r="E107" s="3" t="s">
        <v>405</v>
      </c>
      <c r="F107" s="3" t="s">
        <v>28</v>
      </c>
      <c r="G107" s="4" t="s">
        <v>41</v>
      </c>
      <c r="H107" s="3"/>
      <c r="I107" s="3"/>
      <c r="J107" s="3"/>
      <c r="K107" s="3"/>
      <c r="L107" s="3"/>
      <c r="M107" s="3" t="s">
        <v>22</v>
      </c>
      <c r="N107" s="5">
        <v>38245</v>
      </c>
      <c r="O107" s="6">
        <v>46177</v>
      </c>
      <c r="P107" s="6">
        <f t="shared" si="16"/>
        <v>46182</v>
      </c>
      <c r="Q107" s="7" t="s">
        <v>125</v>
      </c>
      <c r="R107" s="2" t="s">
        <v>43</v>
      </c>
      <c r="S107" s="3" t="s">
        <v>32</v>
      </c>
      <c r="T107" s="3">
        <v>224190</v>
      </c>
      <c r="U107" s="2" t="s">
        <v>399</v>
      </c>
      <c r="V107" s="3"/>
      <c r="W107" s="7">
        <v>9235182613</v>
      </c>
      <c r="X107" s="2" t="s">
        <v>24</v>
      </c>
    </row>
    <row r="108" spans="1:24" x14ac:dyDescent="0.3">
      <c r="A108" s="3" t="s">
        <v>514</v>
      </c>
      <c r="B108" s="9" t="s">
        <v>406</v>
      </c>
      <c r="C108" s="1">
        <v>98595</v>
      </c>
      <c r="D108" s="2" t="s">
        <v>407</v>
      </c>
      <c r="E108" s="3" t="s">
        <v>408</v>
      </c>
      <c r="F108" s="3" t="s">
        <v>28</v>
      </c>
      <c r="G108" s="4" t="s">
        <v>29</v>
      </c>
      <c r="H108" s="3"/>
      <c r="I108" s="3"/>
      <c r="J108" s="3"/>
      <c r="K108" s="3"/>
      <c r="L108" s="3"/>
      <c r="M108" s="3" t="s">
        <v>22</v>
      </c>
      <c r="N108" s="5">
        <v>36467</v>
      </c>
      <c r="O108" s="6">
        <v>46175</v>
      </c>
      <c r="P108" s="6">
        <f>O108+2</f>
        <v>46177</v>
      </c>
      <c r="Q108" s="7" t="s">
        <v>30</v>
      </c>
      <c r="R108" s="2" t="s">
        <v>92</v>
      </c>
      <c r="S108" s="3" t="s">
        <v>32</v>
      </c>
      <c r="T108" s="8">
        <v>230129</v>
      </c>
      <c r="U108" s="2" t="s">
        <v>37</v>
      </c>
      <c r="V108" s="3"/>
      <c r="W108" s="7">
        <v>9794478868</v>
      </c>
      <c r="X108" s="2" t="s">
        <v>24</v>
      </c>
    </row>
    <row r="109" spans="1:24" x14ac:dyDescent="0.3">
      <c r="A109" s="3" t="s">
        <v>514</v>
      </c>
      <c r="B109" s="9" t="s">
        <v>409</v>
      </c>
      <c r="C109" s="1">
        <v>98596</v>
      </c>
      <c r="D109" s="2" t="s">
        <v>410</v>
      </c>
      <c r="E109" s="3" t="s">
        <v>411</v>
      </c>
      <c r="F109" s="3" t="s">
        <v>28</v>
      </c>
      <c r="G109" s="4" t="s">
        <v>41</v>
      </c>
      <c r="H109" s="3"/>
      <c r="I109" s="3"/>
      <c r="J109" s="3"/>
      <c r="K109" s="3"/>
      <c r="L109" s="3"/>
      <c r="M109" s="3" t="s">
        <v>22</v>
      </c>
      <c r="N109" s="5">
        <v>38043</v>
      </c>
      <c r="O109" s="6">
        <v>46175</v>
      </c>
      <c r="P109" s="6">
        <f>O109+5</f>
        <v>46180</v>
      </c>
      <c r="Q109" s="7" t="s">
        <v>125</v>
      </c>
      <c r="R109" s="2" t="s">
        <v>412</v>
      </c>
      <c r="S109" s="3" t="s">
        <v>318</v>
      </c>
      <c r="T109" s="8">
        <v>176201</v>
      </c>
      <c r="U109" s="2" t="s">
        <v>33</v>
      </c>
      <c r="V109" s="3"/>
      <c r="W109" s="7">
        <v>7876536710</v>
      </c>
      <c r="X109" s="2" t="s">
        <v>24</v>
      </c>
    </row>
    <row r="110" spans="1:24" x14ac:dyDescent="0.3">
      <c r="A110" s="3" t="s">
        <v>505</v>
      </c>
      <c r="B110" s="9" t="s">
        <v>413</v>
      </c>
      <c r="C110" s="1">
        <v>94176</v>
      </c>
      <c r="D110" s="2" t="s">
        <v>438</v>
      </c>
      <c r="E110" s="3" t="s">
        <v>439</v>
      </c>
      <c r="F110" s="3" t="s">
        <v>346</v>
      </c>
      <c r="G110" s="4" t="s">
        <v>41</v>
      </c>
      <c r="H110" s="3"/>
      <c r="I110" s="3"/>
      <c r="J110" s="3"/>
      <c r="K110" s="3"/>
      <c r="L110" s="3"/>
      <c r="M110" s="3" t="s">
        <v>22</v>
      </c>
      <c r="N110" s="10">
        <v>37270</v>
      </c>
      <c r="O110" s="6">
        <v>46183</v>
      </c>
      <c r="P110" s="6">
        <f>O110+5</f>
        <v>46188</v>
      </c>
      <c r="Q110" s="7" t="s">
        <v>109</v>
      </c>
      <c r="R110" s="2" t="s">
        <v>486</v>
      </c>
      <c r="S110" s="3" t="s">
        <v>223</v>
      </c>
      <c r="T110" s="3">
        <v>335061</v>
      </c>
      <c r="U110" s="2" t="s">
        <v>33</v>
      </c>
      <c r="W110" s="7">
        <v>7877650083</v>
      </c>
      <c r="X110" s="2" t="s">
        <v>24</v>
      </c>
    </row>
    <row r="111" spans="1:24" x14ac:dyDescent="0.3">
      <c r="A111" s="3" t="s">
        <v>505</v>
      </c>
      <c r="B111" s="9" t="s">
        <v>414</v>
      </c>
      <c r="C111" s="1">
        <v>94177</v>
      </c>
      <c r="D111" s="2" t="s">
        <v>440</v>
      </c>
      <c r="E111" s="3" t="s">
        <v>441</v>
      </c>
      <c r="F111" s="3" t="s">
        <v>346</v>
      </c>
      <c r="G111" s="4" t="s">
        <v>41</v>
      </c>
      <c r="H111" s="3"/>
      <c r="I111" s="3"/>
      <c r="J111" s="3"/>
      <c r="K111" s="3"/>
      <c r="L111" s="3"/>
      <c r="M111" s="3" t="s">
        <v>22</v>
      </c>
      <c r="N111" s="10">
        <v>36968</v>
      </c>
      <c r="O111" s="6">
        <v>46183</v>
      </c>
      <c r="P111" s="6">
        <f t="shared" ref="P111:P116" si="17">O111+5</f>
        <v>46188</v>
      </c>
      <c r="Q111" s="7" t="s">
        <v>109</v>
      </c>
      <c r="R111" s="2" t="s">
        <v>486</v>
      </c>
      <c r="S111" s="3" t="s">
        <v>223</v>
      </c>
      <c r="T111" s="3">
        <v>335073</v>
      </c>
      <c r="U111" s="2" t="s">
        <v>33</v>
      </c>
      <c r="W111" s="7">
        <v>8824458298</v>
      </c>
      <c r="X111" s="2" t="s">
        <v>24</v>
      </c>
    </row>
    <row r="112" spans="1:24" x14ac:dyDescent="0.3">
      <c r="A112" s="3" t="s">
        <v>505</v>
      </c>
      <c r="B112" s="9" t="s">
        <v>415</v>
      </c>
      <c r="C112" s="1">
        <v>94174</v>
      </c>
      <c r="D112" s="2" t="s">
        <v>442</v>
      </c>
      <c r="E112" s="3" t="s">
        <v>443</v>
      </c>
      <c r="F112" s="3" t="s">
        <v>346</v>
      </c>
      <c r="G112" s="4" t="s">
        <v>41</v>
      </c>
      <c r="H112" s="3"/>
      <c r="I112" s="3"/>
      <c r="J112" s="3"/>
      <c r="K112" s="3"/>
      <c r="L112" s="3"/>
      <c r="M112" s="3" t="s">
        <v>22</v>
      </c>
      <c r="N112" s="10">
        <v>36535</v>
      </c>
      <c r="O112" s="6">
        <v>46183</v>
      </c>
      <c r="P112" s="6">
        <f t="shared" si="17"/>
        <v>46188</v>
      </c>
      <c r="Q112" s="7" t="s">
        <v>109</v>
      </c>
      <c r="R112" s="2" t="s">
        <v>486</v>
      </c>
      <c r="S112" s="3" t="s">
        <v>223</v>
      </c>
      <c r="T112" s="3">
        <v>335703</v>
      </c>
      <c r="U112" s="2" t="s">
        <v>33</v>
      </c>
      <c r="W112" s="7">
        <v>7230911843</v>
      </c>
      <c r="X112" s="2" t="s">
        <v>24</v>
      </c>
    </row>
    <row r="113" spans="1:24" x14ac:dyDescent="0.3">
      <c r="A113" s="3" t="s">
        <v>505</v>
      </c>
      <c r="B113" s="9" t="s">
        <v>416</v>
      </c>
      <c r="C113" s="1">
        <v>94175</v>
      </c>
      <c r="D113" s="2" t="s">
        <v>444</v>
      </c>
      <c r="E113" s="3" t="s">
        <v>445</v>
      </c>
      <c r="F113" s="3" t="s">
        <v>346</v>
      </c>
      <c r="G113" s="4" t="s">
        <v>41</v>
      </c>
      <c r="H113" s="3"/>
      <c r="I113" s="3"/>
      <c r="J113" s="3"/>
      <c r="K113" s="3"/>
      <c r="L113" s="3"/>
      <c r="M113" s="3" t="s">
        <v>22</v>
      </c>
      <c r="N113" s="10">
        <v>37394</v>
      </c>
      <c r="O113" s="6">
        <v>46183</v>
      </c>
      <c r="P113" s="6">
        <f t="shared" si="17"/>
        <v>46188</v>
      </c>
      <c r="Q113" s="7" t="s">
        <v>109</v>
      </c>
      <c r="R113" s="2" t="s">
        <v>486</v>
      </c>
      <c r="S113" s="3" t="s">
        <v>223</v>
      </c>
      <c r="T113" s="3">
        <v>335022</v>
      </c>
      <c r="U113" s="2" t="s">
        <v>33</v>
      </c>
      <c r="W113" s="7">
        <v>7850099374</v>
      </c>
      <c r="X113" s="2" t="s">
        <v>24</v>
      </c>
    </row>
    <row r="114" spans="1:24" x14ac:dyDescent="0.3">
      <c r="A114" s="3" t="s">
        <v>505</v>
      </c>
      <c r="B114" s="9" t="s">
        <v>417</v>
      </c>
      <c r="C114" s="1">
        <v>94173</v>
      </c>
      <c r="D114" s="2" t="s">
        <v>446</v>
      </c>
      <c r="E114" s="3" t="s">
        <v>447</v>
      </c>
      <c r="F114" s="3" t="s">
        <v>346</v>
      </c>
      <c r="G114" s="4" t="s">
        <v>41</v>
      </c>
      <c r="H114" s="3"/>
      <c r="I114" s="3"/>
      <c r="J114" s="3"/>
      <c r="K114" s="3"/>
      <c r="L114" s="3"/>
      <c r="M114" s="3" t="s">
        <v>22</v>
      </c>
      <c r="N114" s="10">
        <v>39293</v>
      </c>
      <c r="O114" s="6">
        <v>46183</v>
      </c>
      <c r="P114" s="6">
        <f t="shared" si="17"/>
        <v>46188</v>
      </c>
      <c r="Q114" s="7" t="s">
        <v>109</v>
      </c>
      <c r="R114" s="2" t="s">
        <v>486</v>
      </c>
      <c r="S114" s="3" t="s">
        <v>223</v>
      </c>
      <c r="T114" s="3">
        <v>335039</v>
      </c>
      <c r="U114" s="2" t="s">
        <v>33</v>
      </c>
      <c r="W114" s="7">
        <v>9875890982</v>
      </c>
      <c r="X114" s="2" t="s">
        <v>24</v>
      </c>
    </row>
    <row r="115" spans="1:24" x14ac:dyDescent="0.3">
      <c r="A115" s="3" t="s">
        <v>505</v>
      </c>
      <c r="B115" s="9" t="s">
        <v>418</v>
      </c>
      <c r="C115" s="1">
        <v>94169</v>
      </c>
      <c r="D115" s="2" t="s">
        <v>448</v>
      </c>
      <c r="E115" s="3" t="s">
        <v>449</v>
      </c>
      <c r="F115" s="3" t="s">
        <v>28</v>
      </c>
      <c r="G115" s="4" t="s">
        <v>41</v>
      </c>
      <c r="H115" s="3"/>
      <c r="I115" s="3"/>
      <c r="J115" s="3"/>
      <c r="K115" s="3"/>
      <c r="L115" s="3"/>
      <c r="M115" s="3" t="s">
        <v>22</v>
      </c>
      <c r="N115" s="10">
        <v>37622</v>
      </c>
      <c r="O115" s="6">
        <v>46183</v>
      </c>
      <c r="P115" s="6">
        <f t="shared" si="17"/>
        <v>46188</v>
      </c>
      <c r="Q115" s="7" t="s">
        <v>104</v>
      </c>
      <c r="R115" s="2" t="s">
        <v>487</v>
      </c>
      <c r="S115" s="3" t="s">
        <v>88</v>
      </c>
      <c r="T115" s="3">
        <v>821108</v>
      </c>
      <c r="U115" s="2" t="s">
        <v>37</v>
      </c>
      <c r="W115" s="7">
        <v>7250215364</v>
      </c>
      <c r="X115" s="2" t="s">
        <v>24</v>
      </c>
    </row>
    <row r="116" spans="1:24" x14ac:dyDescent="0.3">
      <c r="A116" s="3" t="s">
        <v>505</v>
      </c>
      <c r="B116" s="9" t="s">
        <v>419</v>
      </c>
      <c r="C116" s="1">
        <v>94172</v>
      </c>
      <c r="D116" s="2" t="s">
        <v>450</v>
      </c>
      <c r="E116" s="3" t="s">
        <v>451</v>
      </c>
      <c r="F116" s="3" t="s">
        <v>28</v>
      </c>
      <c r="G116" s="4" t="s">
        <v>41</v>
      </c>
      <c r="H116" s="3"/>
      <c r="I116" s="3"/>
      <c r="J116" s="3"/>
      <c r="K116" s="3"/>
      <c r="L116" s="3"/>
      <c r="M116" s="3" t="s">
        <v>22</v>
      </c>
      <c r="N116" s="10">
        <v>38181</v>
      </c>
      <c r="O116" s="6">
        <v>46183</v>
      </c>
      <c r="P116" s="6">
        <f t="shared" si="17"/>
        <v>46188</v>
      </c>
      <c r="Q116" s="7" t="s">
        <v>109</v>
      </c>
      <c r="R116" s="2" t="s">
        <v>488</v>
      </c>
      <c r="S116" s="3" t="s">
        <v>32</v>
      </c>
      <c r="T116" s="3">
        <v>261001</v>
      </c>
      <c r="U116" s="2" t="s">
        <v>493</v>
      </c>
      <c r="W116" s="7">
        <v>8175966864</v>
      </c>
      <c r="X116" s="2" t="s">
        <v>24</v>
      </c>
    </row>
    <row r="117" spans="1:24" x14ac:dyDescent="0.3">
      <c r="A117" s="3" t="s">
        <v>505</v>
      </c>
      <c r="B117" s="9" t="s">
        <v>420</v>
      </c>
      <c r="C117" s="1">
        <v>94171</v>
      </c>
      <c r="D117" s="2" t="s">
        <v>452</v>
      </c>
      <c r="E117" s="3" t="s">
        <v>453</v>
      </c>
      <c r="F117" s="3" t="s">
        <v>28</v>
      </c>
      <c r="G117" s="4" t="s">
        <v>63</v>
      </c>
      <c r="H117" s="3"/>
      <c r="I117" s="3"/>
      <c r="J117" s="3"/>
      <c r="K117" s="3"/>
      <c r="L117" s="3"/>
      <c r="M117" s="3" t="s">
        <v>22</v>
      </c>
      <c r="N117" s="10">
        <v>37257</v>
      </c>
      <c r="O117" s="6">
        <v>46183</v>
      </c>
      <c r="P117" s="6">
        <f>O117+2</f>
        <v>46185</v>
      </c>
      <c r="Q117" s="7" t="s">
        <v>109</v>
      </c>
      <c r="R117" s="2" t="s">
        <v>488</v>
      </c>
      <c r="S117" s="3" t="s">
        <v>32</v>
      </c>
      <c r="T117" s="3">
        <v>261302</v>
      </c>
      <c r="U117" s="2" t="s">
        <v>493</v>
      </c>
      <c r="W117" s="7">
        <v>7897451739</v>
      </c>
      <c r="X117" s="2" t="s">
        <v>24</v>
      </c>
    </row>
    <row r="118" spans="1:24" x14ac:dyDescent="0.3">
      <c r="A118" s="3" t="s">
        <v>505</v>
      </c>
      <c r="B118" s="9" t="s">
        <v>421</v>
      </c>
      <c r="C118" s="1">
        <v>94170</v>
      </c>
      <c r="D118" s="2" t="s">
        <v>454</v>
      </c>
      <c r="E118" s="3" t="s">
        <v>455</v>
      </c>
      <c r="F118" s="3" t="s">
        <v>28</v>
      </c>
      <c r="G118" s="4" t="s">
        <v>63</v>
      </c>
      <c r="H118" s="3"/>
      <c r="I118" s="3"/>
      <c r="J118" s="3"/>
      <c r="K118" s="3"/>
      <c r="L118" s="3"/>
      <c r="M118" s="3" t="s">
        <v>22</v>
      </c>
      <c r="N118" s="10">
        <v>37895</v>
      </c>
      <c r="O118" s="6">
        <v>46183</v>
      </c>
      <c r="P118" s="6">
        <f>O118+2</f>
        <v>46185</v>
      </c>
      <c r="Q118" s="7" t="s">
        <v>109</v>
      </c>
      <c r="R118" s="2" t="s">
        <v>487</v>
      </c>
      <c r="S118" s="3" t="s">
        <v>88</v>
      </c>
      <c r="T118" s="3">
        <v>821113</v>
      </c>
      <c r="U118" s="2" t="s">
        <v>37</v>
      </c>
      <c r="W118" s="7">
        <v>7079950873</v>
      </c>
      <c r="X118" s="2" t="s">
        <v>24</v>
      </c>
    </row>
    <row r="119" spans="1:24" x14ac:dyDescent="0.3">
      <c r="A119" s="3" t="s">
        <v>505</v>
      </c>
      <c r="B119" s="9" t="s">
        <v>422</v>
      </c>
      <c r="C119" s="1">
        <v>94168</v>
      </c>
      <c r="D119" s="2" t="s">
        <v>456</v>
      </c>
      <c r="E119" s="3" t="s">
        <v>457</v>
      </c>
      <c r="F119" s="3" t="s">
        <v>28</v>
      </c>
      <c r="G119" s="4" t="s">
        <v>41</v>
      </c>
      <c r="H119" s="3"/>
      <c r="I119" s="3"/>
      <c r="J119" s="3"/>
      <c r="K119" s="3"/>
      <c r="L119" s="3"/>
      <c r="M119" s="3" t="s">
        <v>22</v>
      </c>
      <c r="N119" s="10">
        <v>39532</v>
      </c>
      <c r="O119" s="6">
        <v>46183</v>
      </c>
      <c r="P119" s="6">
        <f t="shared" ref="P119:P121" si="18">O119+5</f>
        <v>46188</v>
      </c>
      <c r="Q119" s="7" t="s">
        <v>109</v>
      </c>
      <c r="R119" s="2" t="s">
        <v>295</v>
      </c>
      <c r="S119" s="3" t="s">
        <v>32</v>
      </c>
      <c r="T119" s="3">
        <v>242301</v>
      </c>
      <c r="U119" s="2" t="s">
        <v>33</v>
      </c>
      <c r="W119" s="7">
        <v>8354983627</v>
      </c>
      <c r="X119" s="2" t="s">
        <v>24</v>
      </c>
    </row>
    <row r="120" spans="1:24" x14ac:dyDescent="0.3">
      <c r="A120" s="3" t="s">
        <v>505</v>
      </c>
      <c r="B120" s="9" t="s">
        <v>423</v>
      </c>
      <c r="C120" s="1">
        <v>94167</v>
      </c>
      <c r="D120" s="2" t="s">
        <v>458</v>
      </c>
      <c r="E120" s="3" t="s">
        <v>459</v>
      </c>
      <c r="F120" s="3" t="s">
        <v>28</v>
      </c>
      <c r="G120" s="4" t="s">
        <v>41</v>
      </c>
      <c r="H120" s="3"/>
      <c r="I120" s="3"/>
      <c r="J120" s="3"/>
      <c r="K120" s="3"/>
      <c r="L120" s="3"/>
      <c r="M120" s="3" t="s">
        <v>22</v>
      </c>
      <c r="N120" s="10">
        <v>39222</v>
      </c>
      <c r="O120" s="6">
        <v>46183</v>
      </c>
      <c r="P120" s="6">
        <f t="shared" si="18"/>
        <v>46188</v>
      </c>
      <c r="Q120" s="7" t="s">
        <v>109</v>
      </c>
      <c r="R120" s="2" t="s">
        <v>295</v>
      </c>
      <c r="S120" s="3" t="s">
        <v>32</v>
      </c>
      <c r="T120" s="3">
        <v>242301</v>
      </c>
      <c r="U120" s="2" t="s">
        <v>33</v>
      </c>
      <c r="W120" s="7">
        <v>8953825122</v>
      </c>
      <c r="X120" s="2" t="s">
        <v>24</v>
      </c>
    </row>
    <row r="121" spans="1:24" x14ac:dyDescent="0.3">
      <c r="A121" s="3" t="s">
        <v>505</v>
      </c>
      <c r="B121" s="9" t="s">
        <v>424</v>
      </c>
      <c r="C121" s="1">
        <v>94166</v>
      </c>
      <c r="D121" s="2" t="s">
        <v>460</v>
      </c>
      <c r="E121" s="3" t="s">
        <v>461</v>
      </c>
      <c r="F121" s="3" t="s">
        <v>28</v>
      </c>
      <c r="G121" s="4" t="s">
        <v>41</v>
      </c>
      <c r="H121" s="3"/>
      <c r="I121" s="3"/>
      <c r="J121" s="3"/>
      <c r="K121" s="3"/>
      <c r="L121" s="3"/>
      <c r="M121" s="3" t="s">
        <v>22</v>
      </c>
      <c r="N121" s="10">
        <v>38194</v>
      </c>
      <c r="O121" s="6">
        <v>46183</v>
      </c>
      <c r="P121" s="6">
        <f t="shared" si="18"/>
        <v>46188</v>
      </c>
      <c r="Q121" s="7" t="s">
        <v>109</v>
      </c>
      <c r="R121" s="2" t="s">
        <v>489</v>
      </c>
      <c r="S121" s="3" t="s">
        <v>88</v>
      </c>
      <c r="T121" s="3">
        <v>851127</v>
      </c>
      <c r="U121" s="2" t="s">
        <v>399</v>
      </c>
      <c r="W121" s="7">
        <v>7209132906</v>
      </c>
      <c r="X121" s="2" t="s">
        <v>24</v>
      </c>
    </row>
    <row r="122" spans="1:24" x14ac:dyDescent="0.3">
      <c r="A122" s="3" t="s">
        <v>505</v>
      </c>
      <c r="B122" s="9" t="s">
        <v>425</v>
      </c>
      <c r="C122" s="1">
        <v>94165</v>
      </c>
      <c r="D122" s="2" t="s">
        <v>495</v>
      </c>
      <c r="E122" s="3" t="s">
        <v>462</v>
      </c>
      <c r="F122" s="3" t="s">
        <v>28</v>
      </c>
      <c r="G122" s="4" t="s">
        <v>63</v>
      </c>
      <c r="H122" s="3"/>
      <c r="I122" s="3"/>
      <c r="J122" s="3"/>
      <c r="K122" s="3"/>
      <c r="L122" s="3"/>
      <c r="M122" s="3" t="s">
        <v>22</v>
      </c>
      <c r="N122" s="10">
        <v>39127</v>
      </c>
      <c r="O122" s="6">
        <v>46183</v>
      </c>
      <c r="P122" s="6">
        <f t="shared" ref="P122:P123" si="19">O122+2</f>
        <v>46185</v>
      </c>
      <c r="Q122" s="7" t="s">
        <v>109</v>
      </c>
      <c r="R122" s="2" t="s">
        <v>490</v>
      </c>
      <c r="S122" s="3" t="s">
        <v>32</v>
      </c>
      <c r="T122" s="3">
        <v>229126</v>
      </c>
      <c r="U122" s="2" t="s">
        <v>37</v>
      </c>
      <c r="W122" s="7">
        <v>9305226846</v>
      </c>
      <c r="X122" s="2" t="s">
        <v>24</v>
      </c>
    </row>
    <row r="123" spans="1:24" x14ac:dyDescent="0.3">
      <c r="A123" s="3" t="s">
        <v>505</v>
      </c>
      <c r="B123" s="9" t="s">
        <v>426</v>
      </c>
      <c r="C123" s="1">
        <v>94164</v>
      </c>
      <c r="D123" s="2" t="s">
        <v>463</v>
      </c>
      <c r="E123" s="3" t="s">
        <v>464</v>
      </c>
      <c r="F123" s="3" t="s">
        <v>28</v>
      </c>
      <c r="G123" s="4" t="s">
        <v>63</v>
      </c>
      <c r="H123" s="3"/>
      <c r="I123" s="3"/>
      <c r="J123" s="3"/>
      <c r="K123" s="3"/>
      <c r="L123" s="3"/>
      <c r="M123" s="3" t="s">
        <v>22</v>
      </c>
      <c r="N123" s="10">
        <v>37754</v>
      </c>
      <c r="O123" s="6">
        <v>46183</v>
      </c>
      <c r="P123" s="6">
        <f t="shared" si="19"/>
        <v>46185</v>
      </c>
      <c r="Q123" s="7" t="s">
        <v>109</v>
      </c>
      <c r="R123" s="2" t="s">
        <v>488</v>
      </c>
      <c r="S123" s="3" t="s">
        <v>32</v>
      </c>
      <c r="T123" s="3">
        <v>261302</v>
      </c>
      <c r="U123" s="2" t="s">
        <v>33</v>
      </c>
      <c r="W123" s="7">
        <v>9335951461</v>
      </c>
      <c r="X123" s="2" t="s">
        <v>24</v>
      </c>
    </row>
    <row r="124" spans="1:24" x14ac:dyDescent="0.3">
      <c r="A124" s="3" t="s">
        <v>505</v>
      </c>
      <c r="B124" s="9" t="s">
        <v>427</v>
      </c>
      <c r="C124" s="1">
        <v>94163</v>
      </c>
      <c r="D124" s="2" t="s">
        <v>465</v>
      </c>
      <c r="E124" s="3" t="s">
        <v>466</v>
      </c>
      <c r="F124" s="3" t="s">
        <v>28</v>
      </c>
      <c r="G124" s="4" t="s">
        <v>41</v>
      </c>
      <c r="H124" s="3"/>
      <c r="I124" s="3"/>
      <c r="J124" s="3"/>
      <c r="K124" s="3"/>
      <c r="L124" s="3"/>
      <c r="M124" s="3" t="s">
        <v>22</v>
      </c>
      <c r="N124" s="10">
        <v>38119</v>
      </c>
      <c r="O124" s="6">
        <v>46183</v>
      </c>
      <c r="P124" s="6">
        <f t="shared" ref="P124:P127" si="20">O124+5</f>
        <v>46188</v>
      </c>
      <c r="Q124" s="7" t="s">
        <v>109</v>
      </c>
      <c r="R124" s="2" t="s">
        <v>266</v>
      </c>
      <c r="S124" s="3" t="s">
        <v>88</v>
      </c>
      <c r="T124" s="3">
        <v>841439</v>
      </c>
      <c r="U124" s="2" t="s">
        <v>33</v>
      </c>
      <c r="W124" s="7">
        <v>9122010048</v>
      </c>
      <c r="X124" s="2" t="s">
        <v>24</v>
      </c>
    </row>
    <row r="125" spans="1:24" x14ac:dyDescent="0.3">
      <c r="A125" s="3" t="s">
        <v>505</v>
      </c>
      <c r="B125" s="9" t="s">
        <v>428</v>
      </c>
      <c r="C125" s="1">
        <v>94160</v>
      </c>
      <c r="D125" s="2" t="s">
        <v>467</v>
      </c>
      <c r="E125" s="3" t="s">
        <v>341</v>
      </c>
      <c r="F125" s="3" t="s">
        <v>28</v>
      </c>
      <c r="G125" s="4" t="s">
        <v>41</v>
      </c>
      <c r="H125" s="3"/>
      <c r="I125" s="3"/>
      <c r="J125" s="3"/>
      <c r="K125" s="3"/>
      <c r="L125" s="3"/>
      <c r="M125" s="3" t="s">
        <v>22</v>
      </c>
      <c r="N125" s="10">
        <v>37760</v>
      </c>
      <c r="O125" s="6">
        <v>46183</v>
      </c>
      <c r="P125" s="6">
        <f t="shared" si="20"/>
        <v>46188</v>
      </c>
      <c r="Q125" s="7" t="s">
        <v>109</v>
      </c>
      <c r="R125" s="2" t="s">
        <v>491</v>
      </c>
      <c r="S125" s="3" t="s">
        <v>101</v>
      </c>
      <c r="T125" s="3">
        <v>833222</v>
      </c>
      <c r="U125" s="2" t="s">
        <v>33</v>
      </c>
      <c r="W125" s="7">
        <v>8541939780</v>
      </c>
      <c r="X125" s="2" t="s">
        <v>24</v>
      </c>
    </row>
    <row r="126" spans="1:24" x14ac:dyDescent="0.3">
      <c r="A126" s="3" t="s">
        <v>505</v>
      </c>
      <c r="B126" s="9" t="s">
        <v>429</v>
      </c>
      <c r="C126" s="1">
        <v>94159</v>
      </c>
      <c r="D126" s="2" t="s">
        <v>468</v>
      </c>
      <c r="E126" s="3" t="s">
        <v>469</v>
      </c>
      <c r="F126" s="3" t="s">
        <v>28</v>
      </c>
      <c r="G126" s="4" t="s">
        <v>41</v>
      </c>
      <c r="H126" s="3"/>
      <c r="I126" s="3"/>
      <c r="J126" s="3"/>
      <c r="K126" s="3"/>
      <c r="L126" s="3"/>
      <c r="M126" s="3" t="s">
        <v>22</v>
      </c>
      <c r="N126" s="10">
        <v>38696</v>
      </c>
      <c r="O126" s="6">
        <v>46183</v>
      </c>
      <c r="P126" s="6">
        <f t="shared" si="20"/>
        <v>46188</v>
      </c>
      <c r="Q126" s="7" t="s">
        <v>109</v>
      </c>
      <c r="R126" s="2" t="s">
        <v>486</v>
      </c>
      <c r="S126" s="3" t="s">
        <v>223</v>
      </c>
      <c r="T126" s="3">
        <v>335073</v>
      </c>
      <c r="U126" s="2" t="s">
        <v>33</v>
      </c>
      <c r="W126" s="7">
        <v>9352593096</v>
      </c>
      <c r="X126" s="2" t="s">
        <v>24</v>
      </c>
    </row>
    <row r="127" spans="1:24" x14ac:dyDescent="0.3">
      <c r="A127" s="3" t="s">
        <v>505</v>
      </c>
      <c r="B127" s="9" t="s">
        <v>430</v>
      </c>
      <c r="C127" s="1">
        <v>94161</v>
      </c>
      <c r="D127" s="2" t="s">
        <v>470</v>
      </c>
      <c r="E127" s="3" t="s">
        <v>471</v>
      </c>
      <c r="F127" s="3" t="s">
        <v>28</v>
      </c>
      <c r="G127" s="4" t="s">
        <v>41</v>
      </c>
      <c r="H127" s="3"/>
      <c r="I127" s="3"/>
      <c r="J127" s="3"/>
      <c r="K127" s="3"/>
      <c r="L127" s="3"/>
      <c r="M127" s="3" t="s">
        <v>22</v>
      </c>
      <c r="N127" s="10">
        <v>39224</v>
      </c>
      <c r="O127" s="6">
        <v>46183</v>
      </c>
      <c r="P127" s="6">
        <f t="shared" si="20"/>
        <v>46188</v>
      </c>
      <c r="Q127" s="7" t="s">
        <v>109</v>
      </c>
      <c r="R127" s="2" t="s">
        <v>266</v>
      </c>
      <c r="S127" s="3" t="s">
        <v>88</v>
      </c>
      <c r="T127" s="3">
        <v>841439</v>
      </c>
      <c r="U127" s="2" t="s">
        <v>33</v>
      </c>
      <c r="W127" s="7">
        <v>9241353617</v>
      </c>
      <c r="X127" s="2" t="s">
        <v>24</v>
      </c>
    </row>
    <row r="128" spans="1:24" x14ac:dyDescent="0.3">
      <c r="A128" s="3" t="s">
        <v>505</v>
      </c>
      <c r="B128" s="9" t="s">
        <v>431</v>
      </c>
      <c r="C128" s="1">
        <v>94162</v>
      </c>
      <c r="D128" s="2" t="s">
        <v>472</v>
      </c>
      <c r="E128" s="3" t="s">
        <v>473</v>
      </c>
      <c r="F128" s="3" t="s">
        <v>28</v>
      </c>
      <c r="G128" s="4" t="s">
        <v>63</v>
      </c>
      <c r="H128" s="3"/>
      <c r="I128" s="3"/>
      <c r="J128" s="3"/>
      <c r="K128" s="3"/>
      <c r="L128" s="3"/>
      <c r="M128" s="3" t="s">
        <v>22</v>
      </c>
      <c r="N128" s="10">
        <v>38719</v>
      </c>
      <c r="O128" s="6">
        <v>46183</v>
      </c>
      <c r="P128" s="6">
        <f>O128+2</f>
        <v>46185</v>
      </c>
      <c r="Q128" s="7" t="s">
        <v>109</v>
      </c>
      <c r="R128" s="2" t="s">
        <v>492</v>
      </c>
      <c r="S128" s="3" t="s">
        <v>88</v>
      </c>
      <c r="T128" s="3">
        <v>841416</v>
      </c>
      <c r="U128" s="2" t="s">
        <v>33</v>
      </c>
      <c r="W128" s="7">
        <v>6202988497</v>
      </c>
      <c r="X128" s="2" t="s">
        <v>24</v>
      </c>
    </row>
    <row r="129" spans="1:24" x14ac:dyDescent="0.3">
      <c r="A129" s="3" t="s">
        <v>505</v>
      </c>
      <c r="B129" s="9" t="s">
        <v>432</v>
      </c>
      <c r="C129" s="1">
        <v>94156</v>
      </c>
      <c r="D129" s="2" t="s">
        <v>474</v>
      </c>
      <c r="E129" s="3" t="s">
        <v>475</v>
      </c>
      <c r="F129" s="3" t="s">
        <v>28</v>
      </c>
      <c r="G129" s="4" t="s">
        <v>41</v>
      </c>
      <c r="H129" s="3"/>
      <c r="I129" s="3"/>
      <c r="J129" s="3"/>
      <c r="K129" s="3"/>
      <c r="L129" s="3"/>
      <c r="M129" s="3" t="s">
        <v>22</v>
      </c>
      <c r="N129" s="10">
        <v>39269</v>
      </c>
      <c r="O129" s="6">
        <v>46183</v>
      </c>
      <c r="P129" s="6">
        <f t="shared" ref="P129:P134" si="21">O129+5</f>
        <v>46188</v>
      </c>
      <c r="Q129" s="7" t="s">
        <v>109</v>
      </c>
      <c r="R129" s="2" t="s">
        <v>486</v>
      </c>
      <c r="S129" s="3" t="s">
        <v>223</v>
      </c>
      <c r="T129" s="3">
        <v>335051</v>
      </c>
      <c r="U129" s="2" t="s">
        <v>33</v>
      </c>
      <c r="W129" s="7">
        <v>9079102982</v>
      </c>
      <c r="X129" s="2" t="s">
        <v>24</v>
      </c>
    </row>
    <row r="130" spans="1:24" x14ac:dyDescent="0.3">
      <c r="A130" s="3" t="s">
        <v>505</v>
      </c>
      <c r="B130" s="9" t="s">
        <v>433</v>
      </c>
      <c r="C130" s="1">
        <v>94153</v>
      </c>
      <c r="D130" s="2" t="s">
        <v>476</v>
      </c>
      <c r="E130" s="3" t="s">
        <v>477</v>
      </c>
      <c r="F130" s="3" t="s">
        <v>28</v>
      </c>
      <c r="G130" s="4" t="s">
        <v>41</v>
      </c>
      <c r="H130" s="3"/>
      <c r="I130" s="3"/>
      <c r="J130" s="3"/>
      <c r="K130" s="3"/>
      <c r="L130" s="3"/>
      <c r="M130" s="3" t="s">
        <v>22</v>
      </c>
      <c r="N130" s="10">
        <v>39019</v>
      </c>
      <c r="O130" s="6">
        <v>46183</v>
      </c>
      <c r="P130" s="6">
        <f t="shared" si="21"/>
        <v>46188</v>
      </c>
      <c r="Q130" s="7" t="s">
        <v>109</v>
      </c>
      <c r="R130" s="2" t="s">
        <v>486</v>
      </c>
      <c r="S130" s="3" t="s">
        <v>223</v>
      </c>
      <c r="T130" s="3">
        <v>335001</v>
      </c>
      <c r="U130" s="2" t="s">
        <v>33</v>
      </c>
      <c r="W130" s="7">
        <v>9460497031</v>
      </c>
      <c r="X130" s="2" t="s">
        <v>24</v>
      </c>
    </row>
    <row r="131" spans="1:24" x14ac:dyDescent="0.3">
      <c r="A131" s="3" t="s">
        <v>505</v>
      </c>
      <c r="B131" s="9" t="s">
        <v>434</v>
      </c>
      <c r="C131" s="1">
        <v>94158</v>
      </c>
      <c r="D131" s="2" t="s">
        <v>478</v>
      </c>
      <c r="E131" s="3" t="s">
        <v>479</v>
      </c>
      <c r="F131" s="3" t="s">
        <v>28</v>
      </c>
      <c r="G131" s="4" t="s">
        <v>41</v>
      </c>
      <c r="H131" s="3"/>
      <c r="I131" s="3"/>
      <c r="J131" s="3"/>
      <c r="K131" s="3"/>
      <c r="L131" s="3"/>
      <c r="M131" s="3" t="s">
        <v>22</v>
      </c>
      <c r="N131" s="10">
        <v>39248</v>
      </c>
      <c r="O131" s="6">
        <v>46183</v>
      </c>
      <c r="P131" s="6">
        <f t="shared" si="21"/>
        <v>46188</v>
      </c>
      <c r="Q131" s="7" t="s">
        <v>109</v>
      </c>
      <c r="R131" s="2" t="s">
        <v>486</v>
      </c>
      <c r="S131" s="3" t="s">
        <v>223</v>
      </c>
      <c r="T131" s="3">
        <v>335051</v>
      </c>
      <c r="U131" s="2" t="s">
        <v>33</v>
      </c>
      <c r="W131" s="7">
        <v>7852801046</v>
      </c>
      <c r="X131" s="2" t="s">
        <v>24</v>
      </c>
    </row>
    <row r="132" spans="1:24" x14ac:dyDescent="0.3">
      <c r="A132" s="3" t="s">
        <v>505</v>
      </c>
      <c r="B132" s="9" t="s">
        <v>435</v>
      </c>
      <c r="C132" s="1">
        <v>94157</v>
      </c>
      <c r="D132" s="2" t="s">
        <v>480</v>
      </c>
      <c r="E132" s="3" t="s">
        <v>481</v>
      </c>
      <c r="F132" s="3" t="s">
        <v>28</v>
      </c>
      <c r="G132" s="4" t="s">
        <v>41</v>
      </c>
      <c r="H132" s="3"/>
      <c r="I132" s="3"/>
      <c r="J132" s="3"/>
      <c r="K132" s="3"/>
      <c r="L132" s="3"/>
      <c r="M132" s="3" t="s">
        <v>22</v>
      </c>
      <c r="N132" s="10">
        <v>38903</v>
      </c>
      <c r="O132" s="6">
        <v>46183</v>
      </c>
      <c r="P132" s="6">
        <f t="shared" si="21"/>
        <v>46188</v>
      </c>
      <c r="Q132" s="7" t="s">
        <v>109</v>
      </c>
      <c r="R132" s="2" t="s">
        <v>486</v>
      </c>
      <c r="S132" s="3" t="s">
        <v>223</v>
      </c>
      <c r="T132" s="3">
        <v>335804</v>
      </c>
      <c r="U132" s="2" t="s">
        <v>33</v>
      </c>
      <c r="W132" s="7">
        <v>9079351336</v>
      </c>
      <c r="X132" s="2" t="s">
        <v>24</v>
      </c>
    </row>
    <row r="133" spans="1:24" x14ac:dyDescent="0.3">
      <c r="A133" s="3" t="s">
        <v>505</v>
      </c>
      <c r="B133" s="9" t="s">
        <v>436</v>
      </c>
      <c r="C133" s="1">
        <v>94155</v>
      </c>
      <c r="D133" s="2" t="s">
        <v>482</v>
      </c>
      <c r="E133" s="3" t="s">
        <v>483</v>
      </c>
      <c r="F133" s="3" t="s">
        <v>28</v>
      </c>
      <c r="G133" s="4" t="s">
        <v>41</v>
      </c>
      <c r="H133" s="3"/>
      <c r="I133" s="3"/>
      <c r="J133" s="3"/>
      <c r="K133" s="3"/>
      <c r="L133" s="3"/>
      <c r="M133" s="3" t="s">
        <v>22</v>
      </c>
      <c r="N133" s="10">
        <v>38903</v>
      </c>
      <c r="O133" s="6">
        <v>46183</v>
      </c>
      <c r="P133" s="6">
        <f t="shared" si="21"/>
        <v>46188</v>
      </c>
      <c r="Q133" s="7" t="s">
        <v>109</v>
      </c>
      <c r="R133" s="2" t="s">
        <v>486</v>
      </c>
      <c r="S133" s="3" t="s">
        <v>223</v>
      </c>
      <c r="T133" s="3">
        <v>335023</v>
      </c>
      <c r="U133" s="2" t="s">
        <v>33</v>
      </c>
      <c r="W133" s="7">
        <v>9982315921</v>
      </c>
      <c r="X133" s="2" t="s">
        <v>24</v>
      </c>
    </row>
    <row r="134" spans="1:24" x14ac:dyDescent="0.3">
      <c r="A134" s="3" t="s">
        <v>505</v>
      </c>
      <c r="B134" s="9" t="s">
        <v>437</v>
      </c>
      <c r="C134" s="1">
        <v>94154</v>
      </c>
      <c r="D134" s="2" t="s">
        <v>484</v>
      </c>
      <c r="E134" s="3" t="s">
        <v>485</v>
      </c>
      <c r="F134" s="3" t="s">
        <v>28</v>
      </c>
      <c r="G134" s="4" t="s">
        <v>41</v>
      </c>
      <c r="H134" s="3"/>
      <c r="I134" s="3"/>
      <c r="J134" s="3"/>
      <c r="K134" s="3"/>
      <c r="L134" s="3"/>
      <c r="M134" s="3" t="s">
        <v>22</v>
      </c>
      <c r="N134" s="10">
        <v>39485</v>
      </c>
      <c r="O134" s="6">
        <v>46183</v>
      </c>
      <c r="P134" s="6">
        <f t="shared" si="21"/>
        <v>46188</v>
      </c>
      <c r="Q134" s="7" t="s">
        <v>109</v>
      </c>
      <c r="R134" s="2" t="s">
        <v>486</v>
      </c>
      <c r="S134" s="3" t="s">
        <v>223</v>
      </c>
      <c r="T134" s="3">
        <v>335023</v>
      </c>
      <c r="U134" s="2" t="s">
        <v>33</v>
      </c>
      <c r="W134" s="7">
        <v>9660529113</v>
      </c>
      <c r="X134" s="2" t="s">
        <v>24</v>
      </c>
    </row>
  </sheetData>
  <conditionalFormatting sqref="B2:B22">
    <cfRule type="duplicateValues" dxfId="49" priority="49"/>
    <cfRule type="duplicateValues" dxfId="48" priority="48"/>
    <cfRule type="duplicateValues" dxfId="47" priority="47"/>
    <cfRule type="duplicateValues" dxfId="46" priority="46"/>
    <cfRule type="duplicateValues" dxfId="45" priority="50"/>
  </conditionalFormatting>
  <conditionalFormatting sqref="B23:B43 B45:B48">
    <cfRule type="duplicateValues" dxfId="44" priority="44"/>
    <cfRule type="duplicateValues" dxfId="43" priority="45"/>
    <cfRule type="duplicateValues" dxfId="42" priority="43"/>
    <cfRule type="duplicateValues" dxfId="41" priority="42"/>
    <cfRule type="duplicateValues" dxfId="40" priority="41"/>
  </conditionalFormatting>
  <conditionalFormatting sqref="B44">
    <cfRule type="duplicateValues" dxfId="39" priority="36"/>
    <cfRule type="duplicateValues" dxfId="38" priority="38"/>
    <cfRule type="duplicateValues" dxfId="37" priority="40"/>
    <cfRule type="duplicateValues" dxfId="36" priority="39"/>
    <cfRule type="duplicateValues" dxfId="35" priority="37"/>
  </conditionalFormatting>
  <conditionalFormatting sqref="B49:B53 B56:B81">
    <cfRule type="duplicateValues" dxfId="34" priority="35"/>
    <cfRule type="duplicateValues" dxfId="33" priority="34"/>
    <cfRule type="duplicateValues" dxfId="32" priority="33"/>
    <cfRule type="duplicateValues" dxfId="31" priority="31"/>
    <cfRule type="duplicateValues" dxfId="30" priority="32"/>
  </conditionalFormatting>
  <conditionalFormatting sqref="B54:B55">
    <cfRule type="duplicateValues" dxfId="29" priority="26"/>
    <cfRule type="duplicateValues" dxfId="28" priority="27"/>
    <cfRule type="duplicateValues" dxfId="27" priority="28"/>
    <cfRule type="duplicateValues" dxfId="26" priority="29"/>
    <cfRule type="duplicateValues" dxfId="25" priority="30"/>
  </conditionalFormatting>
  <conditionalFormatting sqref="B82:B109">
    <cfRule type="duplicateValues" dxfId="24" priority="25"/>
    <cfRule type="duplicateValues" dxfId="23" priority="24"/>
    <cfRule type="duplicateValues" dxfId="22" priority="23"/>
    <cfRule type="duplicateValues" dxfId="21" priority="22"/>
    <cfRule type="duplicateValues" dxfId="20" priority="21"/>
  </conditionalFormatting>
  <conditionalFormatting sqref="B110:B129">
    <cfRule type="duplicateValues" dxfId="19" priority="13"/>
    <cfRule type="duplicateValues" dxfId="18" priority="15"/>
    <cfRule type="duplicateValues" dxfId="17" priority="14"/>
    <cfRule type="duplicateValues" dxfId="16" priority="12"/>
    <cfRule type="duplicateValues" dxfId="15" priority="11"/>
  </conditionalFormatting>
  <conditionalFormatting sqref="B110:B134">
    <cfRule type="duplicateValues" dxfId="14" priority="5"/>
  </conditionalFormatting>
  <conditionalFormatting sqref="B130:B134">
    <cfRule type="duplicateValues" dxfId="13" priority="7"/>
    <cfRule type="duplicateValues" dxfId="12" priority="10"/>
    <cfRule type="duplicateValues" dxfId="11" priority="9"/>
    <cfRule type="duplicateValues" dxfId="10" priority="8"/>
    <cfRule type="duplicateValues" dxfId="9" priority="6"/>
  </conditionalFormatting>
  <conditionalFormatting sqref="C2:C109">
    <cfRule type="duplicateValues" dxfId="8" priority="20"/>
  </conditionalFormatting>
  <conditionalFormatting sqref="C110:C134">
    <cfRule type="duplicateValues" dxfId="7" priority="3"/>
    <cfRule type="duplicateValues" dxfId="6" priority="4"/>
  </conditionalFormatting>
  <conditionalFormatting sqref="W2:W22">
    <cfRule type="duplicateValues" dxfId="5" priority="19"/>
  </conditionalFormatting>
  <conditionalFormatting sqref="W23:W48">
    <cfRule type="duplicateValues" dxfId="4" priority="18"/>
  </conditionalFormatting>
  <conditionalFormatting sqref="W49:W81">
    <cfRule type="duplicateValues" dxfId="3" priority="17"/>
  </conditionalFormatting>
  <conditionalFormatting sqref="W82:W109">
    <cfRule type="duplicateValues" dxfId="2" priority="16"/>
  </conditionalFormatting>
  <conditionalFormatting sqref="W110:W129">
    <cfRule type="duplicateValues" dxfId="1" priority="2"/>
  </conditionalFormatting>
  <conditionalFormatting sqref="W130:W134">
    <cfRule type="duplicateValues" dxfId="0" priority="1"/>
  </conditionalFormatting>
  <dataValidations count="4">
    <dataValidation type="list" allowBlank="1" showInputMessage="1" showErrorMessage="1" sqref="I2:I109" xr:uid="{00000000-0002-0000-0000-000000000000}">
      <formula1>#REF!</formula1>
    </dataValidation>
    <dataValidation type="list" allowBlank="1" showInputMessage="1" showErrorMessage="1" sqref="H2:H109" xr:uid="{00000000-0002-0000-0000-000001000000}">
      <formula1>"Admin, Assembly - Direct, Assembly - Indirect, C&amp;C - Direct, C&amp;C - Indirect, D&amp;D, DOJO, FG Store, IT, MAINTENANCE, PE, PPC, Quality - Indirect, Quality Assembly , Quality C&amp;C, RM Store, Safety, SRC- Maintenance, SRC- Production, SRC- Quality, Utility"</formula1>
    </dataValidation>
    <dataValidation type="list" allowBlank="1" showInputMessage="1" showErrorMessage="1" sqref="G2:G134" xr:uid="{00000000-0002-0000-0000-000002000000}">
      <formula1>"Assembly, C&amp;C, Design &amp; Development, ENGINEERING, GA, Human Resource, IT, Maintenance, Quality, QUALITY ( Indirect), Quality Control (Indirect), SCM, SCM , SRC"</formula1>
    </dataValidation>
    <dataValidation type="list" allowBlank="1" showInputMessage="1" showErrorMessage="1" sqref="Q2:Q134" xr:uid="{00000000-0002-0000-0000-000003000000}">
      <formula1>"10TH, 12TH, ITI, DIPLOMA, GRADUATE, POST GRADUATE"</formula1>
    </dataValidation>
  </dataValidations>
  <pageMargins left="0.7" right="0.7" top="0.75" bottom="0.75" header="0.3" footer="0.3"/>
  <ignoredErrors>
    <ignoredError sqref="Q1:X1 B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Kumar Nagar</dc:creator>
  <cp:lastModifiedBy>Jatin nagar</cp:lastModifiedBy>
  <dcterms:created xsi:type="dcterms:W3CDTF">2026-06-13T09:15:01Z</dcterms:created>
  <dcterms:modified xsi:type="dcterms:W3CDTF">2026-06-13T09:15:01Z</dcterms:modified>
</cp:coreProperties>
</file>